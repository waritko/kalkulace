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pivotCacheDefinition+xml" PartName="/xl/pivotCache/pivotCacheDefinition1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binary" PartName="/xl/metadata"/>
  <Override ContentType="application/vnd.openxmlformats-officedocument.spreadsheetml.pivotTable+xml" PartName="/xl/pivotTables/pivotTable1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zadání" sheetId="1" r:id="rId4"/>
    <sheet state="visible" name="Výpočet dřeva" sheetId="2" r:id="rId5"/>
    <sheet state="visible" name="Nákup" sheetId="3" r:id="rId6"/>
    <sheet state="visible" name="Ceník dřeva" sheetId="4" r:id="rId7"/>
    <sheet state="visible" name="Ceník mechanizace" sheetId="5" r:id="rId8"/>
    <sheet state="visible" name="Ceník - ostatní materiál" sheetId="6" r:id="rId9"/>
    <sheet state="visible" name="práce" sheetId="7" r:id="rId10"/>
    <sheet state="visible" name="služby" sheetId="8" r:id="rId11"/>
    <sheet state="visible" name="materiál" sheetId="9" r:id="rId12"/>
    <sheet state="visible" name="finance" sheetId="10" r:id="rId13"/>
    <sheet state="visible" name="součty" sheetId="11" r:id="rId14"/>
    <sheet state="hidden" name="výsledek" sheetId="12" r:id="rId15"/>
  </sheets>
  <definedNames>
    <definedName hidden="1" localSheetId="1" name="_xlnm._FilterDatabase">'Výpočet dřeva'!$A$1:$L$50</definedName>
  </definedNames>
  <calcPr/>
  <pivotCaches>
    <pivotCache cacheId="0" r:id="rId16"/>
  </pivotCaches>
  <extLst>
    <ext uri="GoogleSheetsCustomDataVersion2">
      <go:sheetsCustomData xmlns:go="http://customooxmlschemas.google.com/" r:id="rId17" roundtripDataChecksum="Vear9x1pfjrsOw3qwvMTt8pXFOo2ZWy00zmiVq+0fVg="/>
    </ext>
  </extLst>
</workbook>
</file>

<file path=xl/sharedStrings.xml><?xml version="1.0" encoding="utf-8"?>
<sst xmlns="http://schemas.openxmlformats.org/spreadsheetml/2006/main" count="661" uniqueCount="151">
  <si>
    <t>Druh řeziva</t>
  </si>
  <si>
    <t>Název dílu</t>
  </si>
  <si>
    <t>30 kratina</t>
  </si>
  <si>
    <t>Předmět:</t>
  </si>
  <si>
    <t>Dub</t>
  </si>
  <si>
    <t>Typ dřeva</t>
  </si>
  <si>
    <t>Šířka</t>
  </si>
  <si>
    <t>Výška</t>
  </si>
  <si>
    <t>Tloušťka</t>
  </si>
  <si>
    <t>Povrchovka</t>
  </si>
  <si>
    <t>Počet</t>
  </si>
  <si>
    <t>Plocha m2</t>
  </si>
  <si>
    <t>TL fošny</t>
  </si>
  <si>
    <t>Objem m3</t>
  </si>
  <si>
    <t>Cena/m3</t>
  </si>
  <si>
    <t>Cena</t>
  </si>
  <si>
    <t>Vzor</t>
  </si>
  <si>
    <t>Finanční limit:</t>
  </si>
  <si>
    <t>Kč</t>
  </si>
  <si>
    <t>Plnění:</t>
  </si>
  <si>
    <t>Nic</t>
  </si>
  <si>
    <t>Rozdíl:</t>
  </si>
  <si>
    <t>Neplátce DPH</t>
  </si>
  <si>
    <t>Součet z Objem m3</t>
  </si>
  <si>
    <t>Součet z Plocha m2</t>
  </si>
  <si>
    <t>Nic: celkem</t>
  </si>
  <si>
    <t>Buk</t>
  </si>
  <si>
    <t>Celkový součet</t>
  </si>
  <si>
    <t>Jasan</t>
  </si>
  <si>
    <t>Javor</t>
  </si>
  <si>
    <t>Smrk</t>
  </si>
  <si>
    <t>Jedle</t>
  </si>
  <si>
    <t>Borovice</t>
  </si>
  <si>
    <t>Modřín</t>
  </si>
  <si>
    <t>Olše</t>
  </si>
  <si>
    <t>Ořešák</t>
  </si>
  <si>
    <t>Bříza</t>
  </si>
  <si>
    <t>Topol</t>
  </si>
  <si>
    <t>Lípa</t>
  </si>
  <si>
    <t>Akát</t>
  </si>
  <si>
    <t>Třešeň</t>
  </si>
  <si>
    <t>Jilm</t>
  </si>
  <si>
    <t>Fakturace bez DPH</t>
  </si>
  <si>
    <t>Doprava</t>
  </si>
  <si>
    <t>Položka:</t>
  </si>
  <si>
    <t>Popis:</t>
  </si>
  <si>
    <t>Kč/Km</t>
  </si>
  <si>
    <t>Osobák</t>
  </si>
  <si>
    <t>Dodávka</t>
  </si>
  <si>
    <t>Malý vozík</t>
  </si>
  <si>
    <t>Mechanizace</t>
  </si>
  <si>
    <t>Kč/hod</t>
  </si>
  <si>
    <t>Pokosová pila</t>
  </si>
  <si>
    <t>Formátovací pila</t>
  </si>
  <si>
    <t>Hoblovka</t>
  </si>
  <si>
    <t>Frézka</t>
  </si>
  <si>
    <t>Spojovací materiál</t>
  </si>
  <si>
    <t>Fréza palubky - m</t>
  </si>
  <si>
    <t>měkké dřevo</t>
  </si>
  <si>
    <t>Fréza palubky - t</t>
  </si>
  <si>
    <t>tvrdé dřevo</t>
  </si>
  <si>
    <t>Fréza zaoblovací</t>
  </si>
  <si>
    <t>Ruční frézka</t>
  </si>
  <si>
    <t>Kč/ks</t>
  </si>
  <si>
    <t>Lepidlo</t>
  </si>
  <si>
    <t>Kolík 8x40</t>
  </si>
  <si>
    <t>Šroub M6</t>
  </si>
  <si>
    <t>Insert M6</t>
  </si>
  <si>
    <t>Panty</t>
  </si>
  <si>
    <t>Vysavač</t>
  </si>
  <si>
    <t>Odsávání</t>
  </si>
  <si>
    <t>Excentrická bruska</t>
  </si>
  <si>
    <t>Kč/m2</t>
  </si>
  <si>
    <t>Osmo</t>
  </si>
  <si>
    <t>Práce</t>
  </si>
  <si>
    <t>Brusný materiál</t>
  </si>
  <si>
    <t>Brusný výsek 150 mm</t>
  </si>
  <si>
    <t>Brusný výsek houbička</t>
  </si>
  <si>
    <t>Brusný pás</t>
  </si>
  <si>
    <t>Houba na povrchovku</t>
  </si>
  <si>
    <t>Martin</t>
  </si>
  <si>
    <t>MJ</t>
  </si>
  <si>
    <t>počet MJ</t>
  </si>
  <si>
    <t>Kč/MJ</t>
  </si>
  <si>
    <t>Kč celkem</t>
  </si>
  <si>
    <t>Vlaďka</t>
  </si>
  <si>
    <t>hod</t>
  </si>
  <si>
    <t>Služby</t>
  </si>
  <si>
    <t>Rozpis dní:</t>
  </si>
  <si>
    <t>Konec</t>
  </si>
  <si>
    <t>xxx</t>
  </si>
  <si>
    <t>Auto</t>
  </si>
  <si>
    <t>km</t>
  </si>
  <si>
    <t>h</t>
  </si>
  <si>
    <t>Materiál</t>
  </si>
  <si>
    <t>Vozík</t>
  </si>
  <si>
    <t>Dřevo</t>
  </si>
  <si>
    <t>Kč Celkem</t>
  </si>
  <si>
    <t>akce</t>
  </si>
  <si>
    <t>Materiál 12% DPH</t>
  </si>
  <si>
    <t>Čas</t>
  </si>
  <si>
    <t>Řezivo</t>
  </si>
  <si>
    <t>m2</t>
  </si>
  <si>
    <t>Celkem</t>
  </si>
  <si>
    <t>x</t>
  </si>
  <si>
    <t>X</t>
  </si>
  <si>
    <t>Sleva</t>
  </si>
  <si>
    <t>Ostatní</t>
  </si>
  <si>
    <t>Ruční nářadí</t>
  </si>
  <si>
    <t>akce/os.</t>
  </si>
  <si>
    <t>Objem celkem</t>
  </si>
  <si>
    <t>Objem s rezervou</t>
  </si>
  <si>
    <t>Cena celkem</t>
  </si>
  <si>
    <t>Cena s rezervou</t>
  </si>
  <si>
    <t>Cena s rezervou + DPH</t>
  </si>
  <si>
    <t>Rostliny</t>
  </si>
  <si>
    <t>ks</t>
  </si>
  <si>
    <t>Finance</t>
  </si>
  <si>
    <t>Režijní náklady</t>
  </si>
  <si>
    <t>Kalkulace</t>
  </si>
  <si>
    <t>Fakturace</t>
  </si>
  <si>
    <t>Návrh projektu</t>
  </si>
  <si>
    <t>Technický</t>
  </si>
  <si>
    <t>Jednicové náklady</t>
  </si>
  <si>
    <t>sada</t>
  </si>
  <si>
    <t>% plnění</t>
  </si>
  <si>
    <t>Cena bez DPH</t>
  </si>
  <si>
    <t>DPH</t>
  </si>
  <si>
    <t>Materiál 15% DPH</t>
  </si>
  <si>
    <t>(Materiál 21% DPH)</t>
  </si>
  <si>
    <t>(materiál 15% DPH)</t>
  </si>
  <si>
    <t>%</t>
  </si>
  <si>
    <t>Celkem:</t>
  </si>
  <si>
    <t>Celkové náklady</t>
  </si>
  <si>
    <t>Zisk</t>
  </si>
  <si>
    <t>Fakturace se slevou:</t>
  </si>
  <si>
    <t>Ostatní materiál + mechanizace</t>
  </si>
  <si>
    <t>Mezisoučet:</t>
  </si>
  <si>
    <t>Do Faktury:</t>
  </si>
  <si>
    <t>Do Faktury</t>
  </si>
  <si>
    <t>Sleva:</t>
  </si>
  <si>
    <t>bez marže</t>
  </si>
  <si>
    <t>s marží</t>
  </si>
  <si>
    <t>Cena bez 12% DPH</t>
  </si>
  <si>
    <t>Cena bez 21% DPH</t>
  </si>
  <si>
    <t>Cena s DPH</t>
  </si>
  <si>
    <t>Celkem bez DPH</t>
  </si>
  <si>
    <t>DPH 15%</t>
  </si>
  <si>
    <t>DPH 21%</t>
  </si>
  <si>
    <t>Cena s 12% DPH</t>
  </si>
  <si>
    <t>Cena s 21% DPH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</si>
</sst>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5">
    <numFmt numFmtId="164" formatCode="#,##0.0000"/>
    <numFmt numFmtId="165" formatCode="#,##0_ ;[Red]\-#,##0\ "/>
    <numFmt numFmtId="166" formatCode="0.0000"/>
    <numFmt numFmtId="167" formatCode="#,##0\ &quot;Kč&quot;"/>
    <numFmt numFmtId="168" formatCode="#,##0\ &quot;Kč&quot;;[Red]\-#,##0\ &quot;Kč&quot;"/>
  </numFmts>
  <fonts count="14">
    <font>
      <sz val="10.0"/>
      <color rgb="FF000000"/>
      <name val="Calibri"/>
      <scheme val="minor"/>
    </font>
    <font>
      <b/>
      <sz val="15.0"/>
      <color rgb="FF111111"/>
      <name val="Inter"/>
    </font>
    <font>
      <sz val="12.0"/>
      <color theme="1"/>
      <name val="Arial Black"/>
    </font>
    <font>
      <color theme="1"/>
      <name val="Calibri"/>
      <scheme val="minor"/>
    </font>
    <font>
      <b/>
      <sz val="12.0"/>
      <color rgb="FF111111"/>
      <name val="Inter"/>
    </font>
    <font>
      <sz val="16.0"/>
      <color theme="1"/>
      <name val="Arial Black"/>
    </font>
    <font>
      <sz val="14.0"/>
      <color rgb="FF111111"/>
      <name val="Inter"/>
    </font>
    <font>
      <sz val="10.0"/>
      <color theme="1"/>
      <name val="Arial"/>
    </font>
    <font>
      <sz val="14.0"/>
      <color theme="1"/>
      <name val="Arial"/>
    </font>
    <font>
      <b/>
      <sz val="10.0"/>
      <color theme="1"/>
      <name val="Arial"/>
    </font>
    <font/>
    <font>
      <sz val="10.0"/>
      <color theme="1"/>
      <name val="Arial Black"/>
    </font>
    <font>
      <sz val="8.0"/>
      <color theme="1"/>
      <name val="Arial"/>
    </font>
    <font>
      <sz val="10.0"/>
      <color rgb="FFC0C0C0"/>
      <name val="Arial"/>
    </font>
  </fonts>
  <fills count="14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92D050"/>
        <bgColor rgb="FF92D050"/>
      </patternFill>
    </fill>
    <fill>
      <patternFill patternType="solid">
        <fgColor rgb="FFEDE6D8"/>
        <bgColor rgb="FFEDE6D8"/>
      </patternFill>
    </fill>
    <fill>
      <patternFill patternType="solid">
        <fgColor theme="6"/>
        <bgColor theme="6"/>
      </patternFill>
    </fill>
    <fill>
      <patternFill patternType="solid">
        <fgColor rgb="FFFFFF00"/>
        <bgColor rgb="FFFFFF00"/>
      </patternFill>
    </fill>
    <fill>
      <patternFill patternType="solid">
        <fgColor rgb="FF969696"/>
        <bgColor rgb="FF969696"/>
      </patternFill>
    </fill>
    <fill>
      <patternFill patternType="solid">
        <fgColor rgb="FFD6E3BC"/>
        <bgColor rgb="FFD6E3BC"/>
      </patternFill>
    </fill>
    <fill>
      <patternFill patternType="solid">
        <fgColor rgb="FFC0C0C0"/>
        <bgColor rgb="FFC0C0C0"/>
      </patternFill>
    </fill>
    <fill>
      <patternFill patternType="solid">
        <fgColor rgb="FF7F7F7F"/>
        <bgColor rgb="FF7F7F7F"/>
      </patternFill>
    </fill>
    <fill>
      <patternFill patternType="solid">
        <fgColor rgb="FFE5B8B7"/>
        <bgColor rgb="FFE5B8B7"/>
      </patternFill>
    </fill>
    <fill>
      <patternFill patternType="solid">
        <fgColor rgb="FF95B3D7"/>
        <bgColor rgb="FF95B3D7"/>
      </patternFill>
    </fill>
    <fill>
      <patternFill patternType="solid">
        <fgColor rgb="FFCCC0D9"/>
        <bgColor rgb="FFCCC0D9"/>
      </patternFill>
    </fill>
  </fills>
  <borders count="30">
    <border/>
    <border>
      <left style="thick">
        <color rgb="FF000000"/>
      </left>
      <right/>
      <top/>
      <bottom/>
    </border>
    <border>
      <left style="thick">
        <color rgb="FF000000"/>
      </left>
      <right style="thin">
        <color rgb="FF000000"/>
      </right>
      <top style="thick">
        <color rgb="FF000000"/>
      </top>
      <bottom style="thin">
        <color rgb="FF000000"/>
      </bottom>
    </border>
    <border>
      <left/>
      <right/>
      <top/>
      <bottom/>
    </border>
    <border>
      <left style="thick">
        <color rgb="FF000000"/>
      </left>
      <right style="thin">
        <color rgb="FF111111"/>
      </right>
      <top style="thick">
        <color rgb="FF111111"/>
      </top>
      <bottom/>
    </border>
    <border>
      <left style="thin">
        <color rgb="FF000000"/>
      </left>
      <right style="thin">
        <color rgb="FF000000"/>
      </right>
      <top style="thick">
        <color rgb="FF000000"/>
      </top>
      <bottom style="thin">
        <color rgb="FF000000"/>
      </bottom>
    </border>
    <border>
      <left style="thin">
        <color rgb="FFCCCCCC"/>
      </left>
      <right style="thin">
        <color rgb="FFCCCCCC"/>
      </right>
      <top style="thin">
        <color rgb="FF000000"/>
      </top>
      <bottom style="thin">
        <color rgb="FFCCCCCC"/>
      </bottom>
    </border>
    <border>
      <left style="thin">
        <color rgb="FF000000"/>
      </left>
      <right style="thick">
        <color rgb="FF000000"/>
      </right>
      <top style="thick">
        <color rgb="FF000000"/>
      </top>
      <bottom style="thin">
        <color rgb="FF000000"/>
      </bottom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</border>
    <border>
      <left style="thin">
        <color rgb="FFCCCCCC"/>
      </left>
      <right style="thin">
        <color rgb="FF000000"/>
      </right>
      <top style="thin">
        <color rgb="FF000000"/>
      </top>
      <bottom style="thin">
        <color rgb="FFCCCCCC"/>
      </bottom>
    </border>
    <border>
      <left style="thin">
        <color rgb="FF000000"/>
      </left>
      <right style="thin">
        <color rgb="FFCCCCCC"/>
      </right>
      <top style="thin">
        <color rgb="FFCCCCCC"/>
      </top>
      <bottom style="thin">
        <color rgb="FFCCCCCC"/>
      </bottom>
    </border>
    <border>
      <left style="thick">
        <color rgb="FF000000"/>
      </left>
      <right style="thin">
        <color rgb="FF111111"/>
      </right>
      <top style="thick">
        <color rgb="FF111111"/>
      </top>
      <bottom style="thick">
        <color rgb="FF000000"/>
      </bottom>
    </border>
    <border>
      <left/>
      <right style="thin">
        <color rgb="FF111111"/>
      </right>
      <top style="thick">
        <color rgb="FF111111"/>
      </top>
      <bottom/>
    </border>
    <border>
      <left style="thin">
        <color rgb="FFCCCCCC"/>
      </left>
      <right style="thin">
        <color rgb="FF000000"/>
      </right>
      <top style="thin">
        <color rgb="FFCCCCCC"/>
      </top>
      <bottom style="thin">
        <color rgb="FFCCCCCC"/>
      </bottom>
    </border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</border>
    <border>
      <right style="thin">
        <color rgb="FF000000"/>
      </right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/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151">
    <xf borderId="0" fillId="0" fontId="0" numFmtId="0" xfId="0" applyAlignment="1" applyFont="1">
      <alignment readingOrder="0" shrinkToFit="0" vertical="bottom" wrapText="0"/>
    </xf>
    <xf borderId="1" fillId="2" fontId="1" numFmtId="0" xfId="0" applyBorder="1" applyFill="1" applyFont="1"/>
    <xf borderId="2" fillId="2" fontId="1" numFmtId="0" xfId="0" applyAlignment="1" applyBorder="1" applyFill="1" applyFont="1">
      <alignment horizontal="center"/>
    </xf>
    <xf borderId="3" fillId="3" fontId="2" numFmtId="0" xfId="0" applyBorder="1" applyFill="1" applyFont="1"/>
    <xf borderId="0" fillId="0" fontId="3" numFmtId="0" xfId="0" applyFont="1"/>
    <xf borderId="4" fillId="4" fontId="4" numFmtId="0" xfId="0" applyAlignment="1" applyBorder="1" applyFill="1" applyFont="1">
      <alignment shrinkToFit="0" wrapText="1"/>
    </xf>
    <xf borderId="0" fillId="0" fontId="5" numFmtId="0" xfId="0" applyFont="1"/>
    <xf borderId="5" fillId="4" fontId="6" numFmtId="3" xfId="0" applyAlignment="1" applyBorder="1" applyFill="1" applyFont="1" applyNumberFormat="1">
      <alignment shrinkToFit="0" wrapText="1"/>
    </xf>
    <xf borderId="6" fillId="0" fontId="7" numFmtId="0" xfId="0" applyAlignment="1" applyBorder="1" applyFont="1">
      <alignment horizontal="left" readingOrder="1"/>
    </xf>
    <xf borderId="0" fillId="0" fontId="7" numFmtId="0" xfId="0" applyFont="1"/>
    <xf borderId="7" fillId="4" fontId="6" numFmtId="3" xfId="0" applyAlignment="1" applyBorder="1" applyFill="1" applyFont="1" applyNumberFormat="1">
      <alignment shrinkToFit="0" wrapText="1"/>
    </xf>
    <xf borderId="0" fillId="0" fontId="5" numFmtId="165" xfId="0" applyFont="1" applyNumberFormat="1"/>
    <xf borderId="8" fillId="0" fontId="7" numFmtId="0" xfId="0" applyAlignment="1" applyBorder="1" applyFont="1">
      <alignment horizontal="left" readingOrder="1"/>
    </xf>
    <xf borderId="9" fillId="0" fontId="7" numFmtId="0" xfId="0" applyAlignment="1" applyBorder="1" applyFont="1">
      <alignment horizontal="left" readingOrder="1"/>
    </xf>
    <xf borderId="3" fillId="5" fontId="7" numFmtId="0" xfId="0" applyBorder="1" applyFill="1" applyFont="1"/>
    <xf borderId="10" fillId="5" fontId="7" numFmtId="3" xfId="0" applyAlignment="1" applyBorder="1" applyFill="1" applyFont="1" applyNumberFormat="1">
      <alignment horizontal="left" readingOrder="1"/>
    </xf>
    <xf borderId="3" fillId="3" fontId="7" numFmtId="3" xfId="0" applyBorder="1" applyFill="1" applyFont="1" applyNumberFormat="1"/>
    <xf borderId="3" fillId="3" fontId="7" numFmtId="165" xfId="0" applyBorder="1" applyFill="1" applyFont="1" applyNumberFormat="1"/>
    <xf borderId="3" fillId="3" fontId="8" numFmtId="0" xfId="0" applyBorder="1" applyFill="1" applyFont="1"/>
    <xf borderId="7" fillId="4" fontId="6" numFmtId="0" xfId="0" applyAlignment="1" applyBorder="1" applyFill="1" applyFont="1">
      <alignment shrinkToFit="0" wrapText="1"/>
    </xf>
    <xf borderId="0" fillId="0" fontId="8" numFmtId="0" xfId="0" applyAlignment="1" applyFont="1">
      <alignment horizontal="left"/>
    </xf>
    <xf borderId="5" fillId="4" fontId="6" numFmtId="0" xfId="0" applyAlignment="1" applyBorder="1" applyFill="1" applyFont="1">
      <alignment shrinkToFit="0" wrapText="1"/>
    </xf>
    <xf borderId="8" fillId="5" fontId="7" numFmtId="3" xfId="0" applyAlignment="1" applyBorder="1" applyFill="1" applyFont="1" applyNumberFormat="1">
      <alignment horizontal="left" readingOrder="1"/>
    </xf>
    <xf borderId="0" fillId="0" fontId="8" numFmtId="166" xfId="0" applyFont="1" applyNumberFormat="1"/>
    <xf borderId="4" fillId="2" fontId="4" numFmtId="0" xfId="0" applyAlignment="1" applyBorder="1" applyFill="1" applyFont="1">
      <alignment shrinkToFit="0" wrapText="1"/>
    </xf>
    <xf borderId="0" fillId="0" fontId="3" numFmtId="164" xfId="0" applyFont="1" applyNumberFormat="1"/>
    <xf borderId="5" fillId="2" fontId="6" numFmtId="3" xfId="0" applyAlignment="1" applyBorder="1" applyFill="1" applyFont="1" applyNumberFormat="1">
      <alignment shrinkToFit="0" wrapText="1"/>
    </xf>
    <xf borderId="3" fillId="3" fontId="8" numFmtId="0" xfId="0" applyAlignment="1" applyBorder="1" applyFill="1" applyFont="1">
      <alignment horizontal="left"/>
    </xf>
    <xf borderId="8" fillId="0" fontId="7" numFmtId="164" xfId="0" applyAlignment="1" applyBorder="1" applyFont="1" applyNumberFormat="1">
      <alignment horizontal="left" readingOrder="1"/>
    </xf>
    <xf borderId="7" fillId="2" fontId="6" numFmtId="3" xfId="0" applyAlignment="1" applyBorder="1" applyFill="1" applyFont="1" applyNumberFormat="1">
      <alignment shrinkToFit="0" wrapText="1"/>
    </xf>
    <xf borderId="7" fillId="2" fontId="6" numFmtId="0" xfId="0" applyAlignment="1" applyBorder="1" applyFill="1" applyFont="1">
      <alignment shrinkToFit="0" wrapText="1"/>
    </xf>
    <xf borderId="5" fillId="2" fontId="6" numFmtId="0" xfId="0" applyAlignment="1" applyBorder="1" applyFill="1" applyFont="1">
      <alignment shrinkToFit="0" wrapText="1"/>
    </xf>
    <xf borderId="3" fillId="3" fontId="8" numFmtId="166" xfId="0" applyBorder="1" applyFill="1" applyFont="1" applyNumberFormat="1"/>
    <xf borderId="8" fillId="0" fontId="7" numFmtId="3" xfId="0" applyAlignment="1" applyBorder="1" applyFont="1" applyNumberFormat="1">
      <alignment horizontal="left" readingOrder="1"/>
    </xf>
    <xf borderId="11" fillId="2" fontId="4" numFmtId="0" xfId="0" applyAlignment="1" applyBorder="1" applyFill="1" applyFont="1">
      <alignment shrinkToFit="0" wrapText="1"/>
    </xf>
    <xf borderId="12" fillId="4" fontId="4" numFmtId="0" xfId="0" applyAlignment="1" applyBorder="1" applyFill="1" applyFont="1">
      <alignment shrinkToFit="0" wrapText="1"/>
    </xf>
    <xf borderId="12" fillId="2" fontId="4" numFmtId="0" xfId="0" applyAlignment="1" applyBorder="1" applyFill="1" applyFont="1">
      <alignment shrinkToFit="0" wrapText="1"/>
    </xf>
    <xf borderId="5" fillId="2" fontId="4" numFmtId="0" xfId="0" applyAlignment="1" applyBorder="1" applyFill="1" applyFont="1">
      <alignment shrinkToFit="0" wrapText="1"/>
    </xf>
    <xf borderId="13" fillId="0" fontId="7" numFmtId="0" xfId="0" applyAlignment="1" applyBorder="1" applyFont="1">
      <alignment horizontal="left" readingOrder="1"/>
    </xf>
    <xf borderId="14" fillId="0" fontId="9" numFmtId="0" xfId="0" applyAlignment="1" applyBorder="1" applyFont="1">
      <alignment horizontal="center"/>
    </xf>
    <xf borderId="15" fillId="0" fontId="10" numFmtId="0" xfId="0" applyBorder="1" applyFont="1"/>
    <xf borderId="16" fillId="0" fontId="10" numFmtId="0" xfId="0" applyBorder="1" applyFont="1"/>
    <xf borderId="14" fillId="0" fontId="9" numFmtId="0" xfId="0" applyAlignment="1" applyBorder="1" applyFont="1">
      <alignment vertical="center"/>
    </xf>
    <xf borderId="15" fillId="0" fontId="9" numFmtId="0" xfId="0" applyBorder="1" applyFont="1"/>
    <xf borderId="16" fillId="0" fontId="9" numFmtId="0" xfId="0" applyBorder="1" applyFont="1"/>
    <xf borderId="17" fillId="0" fontId="9" numFmtId="0" xfId="0" applyAlignment="1" applyBorder="1" applyFont="1">
      <alignment vertical="center"/>
    </xf>
    <xf borderId="18" fillId="0" fontId="7" numFmtId="167" xfId="0" applyBorder="1" applyFont="1" applyNumberFormat="1"/>
    <xf borderId="19" fillId="0" fontId="9" numFmtId="0" xfId="0" applyAlignment="1" applyBorder="1" applyFont="1">
      <alignment vertical="center"/>
    </xf>
    <xf borderId="20" fillId="0" fontId="7" numFmtId="0" xfId="0" applyBorder="1" applyFont="1"/>
    <xf borderId="20" fillId="0" fontId="7" numFmtId="168" xfId="0" applyBorder="1" applyFont="1" applyNumberFormat="1"/>
    <xf borderId="21" fillId="0" fontId="7" numFmtId="167" xfId="0" applyBorder="1" applyFont="1" applyNumberFormat="1"/>
    <xf borderId="14" fillId="0" fontId="9" numFmtId="0" xfId="0" applyAlignment="1" applyBorder="1" applyFont="1">
      <alignment horizontal="center" textRotation="0" vertical="center"/>
    </xf>
    <xf borderId="17" fillId="0" fontId="10" numFmtId="0" xfId="0" applyBorder="1" applyFont="1"/>
    <xf borderId="18" fillId="0" fontId="7" numFmtId="167" xfId="0" applyAlignment="1" applyBorder="1" applyFont="1" applyNumberFormat="1">
      <alignment readingOrder="0"/>
    </xf>
    <xf borderId="14" fillId="0" fontId="9" numFmtId="0" xfId="0" applyAlignment="1" applyBorder="1" applyFont="1">
      <alignment horizontal="center" vertical="center"/>
    </xf>
    <xf borderId="0" fillId="0" fontId="7" numFmtId="0" xfId="0" applyAlignment="1" applyFont="1">
      <alignment readingOrder="0"/>
    </xf>
    <xf borderId="18" fillId="0" fontId="7" numFmtId="4" xfId="0" applyBorder="1" applyFont="1" applyNumberFormat="1"/>
    <xf borderId="18" fillId="6" fontId="7" numFmtId="4" xfId="0" applyBorder="1" applyFill="1" applyFont="1" applyNumberFormat="1"/>
    <xf borderId="19" fillId="0" fontId="10" numFmtId="0" xfId="0" applyBorder="1" applyFont="1"/>
    <xf borderId="14" fillId="0" fontId="9" numFmtId="0" xfId="0" applyAlignment="1" applyBorder="1" applyFont="1">
      <alignment textRotation="45" vertical="center"/>
    </xf>
    <xf borderId="21" fillId="0" fontId="7" numFmtId="4" xfId="0" applyBorder="1" applyFont="1" applyNumberFormat="1"/>
    <xf borderId="16" fillId="0" fontId="9" numFmtId="4" xfId="0" applyBorder="1" applyFont="1" applyNumberFormat="1"/>
    <xf borderId="3" fillId="3" fontId="7" numFmtId="0" xfId="0" applyBorder="1" applyFill="1" applyFont="1"/>
    <xf borderId="0" fillId="0" fontId="7" numFmtId="0" xfId="0" applyAlignment="1" applyFont="1">
      <alignment horizontal="center"/>
    </xf>
    <xf borderId="22" fillId="0" fontId="11" numFmtId="0" xfId="0" applyBorder="1" applyFont="1"/>
    <xf borderId="22" fillId="0" fontId="7" numFmtId="0" xfId="0" applyAlignment="1" applyBorder="1" applyFont="1">
      <alignment horizontal="center"/>
    </xf>
    <xf borderId="22" fillId="6" fontId="11" numFmtId="0" xfId="0" applyBorder="1" applyFill="1" applyFont="1"/>
    <xf borderId="22" fillId="0" fontId="7" numFmtId="0" xfId="0" applyBorder="1" applyFont="1"/>
    <xf borderId="22" fillId="0" fontId="7" numFmtId="14" xfId="0" applyBorder="1" applyFont="1" applyNumberFormat="1"/>
    <xf borderId="22" fillId="7" fontId="7" numFmtId="0" xfId="0" applyAlignment="1" applyBorder="1" applyFill="1" applyFont="1">
      <alignment horizontal="center"/>
    </xf>
    <xf borderId="22" fillId="7" fontId="9" numFmtId="165" xfId="0" applyAlignment="1" applyBorder="1" applyFill="1" applyFont="1" applyNumberFormat="1">
      <alignment horizontal="center"/>
    </xf>
    <xf borderId="23" fillId="0" fontId="7" numFmtId="0" xfId="0" applyAlignment="1" applyBorder="1" applyFont="1">
      <alignment horizontal="center"/>
    </xf>
    <xf borderId="24" fillId="0" fontId="7" numFmtId="0" xfId="0" applyBorder="1" applyFont="1"/>
    <xf borderId="25" fillId="0" fontId="7" numFmtId="0" xfId="0" applyBorder="1" applyFont="1"/>
    <xf borderId="22" fillId="8" fontId="7" numFmtId="0" xfId="0" applyAlignment="1" applyBorder="1" applyFill="1" applyFont="1">
      <alignment horizontal="center"/>
    </xf>
    <xf borderId="17" fillId="0" fontId="7" numFmtId="0" xfId="0" applyAlignment="1" applyBorder="1" applyFont="1">
      <alignment horizontal="center"/>
    </xf>
    <xf borderId="14" fillId="0" fontId="7" numFmtId="0" xfId="0" applyBorder="1" applyFont="1"/>
    <xf borderId="15" fillId="0" fontId="7" numFmtId="0" xfId="0" applyBorder="1" applyFont="1"/>
    <xf borderId="16" fillId="0" fontId="7" numFmtId="0" xfId="0" applyBorder="1" applyFont="1"/>
    <xf borderId="22" fillId="3" fontId="7" numFmtId="0" xfId="0" applyAlignment="1" applyBorder="1" applyFill="1" applyFont="1">
      <alignment horizontal="center"/>
    </xf>
    <xf borderId="22" fillId="9" fontId="9" numFmtId="165" xfId="0" applyAlignment="1" applyBorder="1" applyFill="1" applyFont="1" applyNumberFormat="1">
      <alignment horizontal="center"/>
    </xf>
    <xf borderId="3" fillId="8" fontId="7" numFmtId="165" xfId="0" applyBorder="1" applyFill="1" applyFont="1" applyNumberFormat="1"/>
    <xf borderId="22" fillId="0" fontId="7" numFmtId="165" xfId="0" applyAlignment="1" applyBorder="1" applyFont="1" applyNumberFormat="1">
      <alignment horizontal="center"/>
    </xf>
    <xf borderId="17" fillId="0" fontId="7" numFmtId="0" xfId="0" applyBorder="1" applyFont="1"/>
    <xf borderId="18" fillId="0" fontId="7" numFmtId="0" xfId="0" applyBorder="1" applyFont="1"/>
    <xf borderId="22" fillId="7" fontId="7" numFmtId="165" xfId="0" applyAlignment="1" applyBorder="1" applyFill="1" applyFont="1" applyNumberFormat="1">
      <alignment horizontal="center"/>
    </xf>
    <xf borderId="3" fillId="8" fontId="7" numFmtId="0" xfId="0" applyBorder="1" applyFill="1" applyFont="1"/>
    <xf borderId="22" fillId="0" fontId="7" numFmtId="0" xfId="0" applyAlignment="1" applyBorder="1" applyFont="1">
      <alignment readingOrder="0"/>
    </xf>
    <xf borderId="22" fillId="10" fontId="11" numFmtId="0" xfId="0" applyBorder="1" applyFill="1" applyFont="1"/>
    <xf borderId="22" fillId="10" fontId="7" numFmtId="0" xfId="0" applyAlignment="1" applyBorder="1" applyFill="1" applyFont="1">
      <alignment horizontal="center"/>
    </xf>
    <xf borderId="22" fillId="0" fontId="7" numFmtId="3" xfId="0" applyAlignment="1" applyBorder="1" applyFont="1" applyNumberFormat="1">
      <alignment horizontal="center"/>
    </xf>
    <xf borderId="22" fillId="0" fontId="7" numFmtId="4" xfId="0" applyAlignment="1" applyBorder="1" applyFont="1" applyNumberFormat="1">
      <alignment horizontal="center"/>
    </xf>
    <xf borderId="19" fillId="0" fontId="7" numFmtId="0" xfId="0" applyBorder="1" applyFont="1"/>
    <xf borderId="21" fillId="0" fontId="7" numFmtId="0" xfId="0" applyBorder="1" applyFont="1"/>
    <xf borderId="22" fillId="0" fontId="9" numFmtId="0" xfId="0" applyBorder="1" applyFont="1"/>
    <xf borderId="22" fillId="0" fontId="9" numFmtId="0" xfId="0" applyAlignment="1" applyBorder="1" applyFont="1">
      <alignment horizontal="center"/>
    </xf>
    <xf borderId="22" fillId="8" fontId="9" numFmtId="165" xfId="0" applyAlignment="1" applyBorder="1" applyFill="1" applyFont="1" applyNumberFormat="1">
      <alignment horizontal="center"/>
    </xf>
    <xf borderId="22" fillId="9" fontId="9" numFmtId="0" xfId="0" applyBorder="1" applyFill="1" applyFont="1"/>
    <xf borderId="22" fillId="10" fontId="7" numFmtId="0" xfId="0" applyBorder="1" applyFill="1" applyFont="1"/>
    <xf borderId="22" fillId="10" fontId="9" numFmtId="165" xfId="0" applyAlignment="1" applyBorder="1" applyFill="1" applyFont="1" applyNumberFormat="1">
      <alignment horizontal="center"/>
    </xf>
    <xf borderId="22" fillId="11" fontId="11" numFmtId="0" xfId="0" applyBorder="1" applyFill="1" applyFont="1"/>
    <xf borderId="22" fillId="9" fontId="7" numFmtId="0" xfId="0" applyBorder="1" applyFill="1" applyFont="1"/>
    <xf borderId="22" fillId="9" fontId="7" numFmtId="165" xfId="0" applyBorder="1" applyFill="1" applyFont="1" applyNumberFormat="1"/>
    <xf borderId="0" fillId="0" fontId="7" numFmtId="165" xfId="0" applyFont="1" applyNumberFormat="1"/>
    <xf borderId="10" fillId="0" fontId="7" numFmtId="0" xfId="0" applyAlignment="1" applyBorder="1" applyFont="1">
      <alignment horizontal="left" readingOrder="1"/>
    </xf>
    <xf borderId="8" fillId="0" fontId="7" numFmtId="166" xfId="0" applyAlignment="1" applyBorder="1" applyFont="1" applyNumberFormat="1">
      <alignment horizontal="left" readingOrder="1"/>
    </xf>
    <xf borderId="22" fillId="10" fontId="9" numFmtId="0" xfId="0" applyBorder="1" applyFill="1" applyFont="1"/>
    <xf borderId="22" fillId="10" fontId="9" numFmtId="0" xfId="0" applyAlignment="1" applyBorder="1" applyFill="1" applyFont="1">
      <alignment horizontal="center"/>
    </xf>
    <xf borderId="22" fillId="7" fontId="7" numFmtId="0" xfId="0" applyBorder="1" applyFill="1" applyFont="1"/>
    <xf borderId="22" fillId="7" fontId="7" numFmtId="165" xfId="0" applyBorder="1" applyFill="1" applyFont="1" applyNumberFormat="1"/>
    <xf borderId="22" fillId="7" fontId="9" numFmtId="0" xfId="0" applyBorder="1" applyFill="1" applyFont="1"/>
    <xf borderId="22" fillId="7" fontId="9" numFmtId="165" xfId="0" applyBorder="1" applyFill="1" applyFont="1" applyNumberFormat="1"/>
    <xf borderId="17" fillId="0" fontId="9" numFmtId="165" xfId="0" applyBorder="1" applyFont="1" applyNumberFormat="1"/>
    <xf borderId="22" fillId="9" fontId="9" numFmtId="165" xfId="0" applyBorder="1" applyFill="1" applyFont="1" applyNumberFormat="1"/>
    <xf borderId="22" fillId="0" fontId="7" numFmtId="0" xfId="0" applyAlignment="1" applyBorder="1" applyFont="1">
      <alignment horizontal="center" readingOrder="0"/>
    </xf>
    <xf borderId="17" fillId="0" fontId="7" numFmtId="165" xfId="0" applyBorder="1" applyFont="1" applyNumberFormat="1"/>
    <xf borderId="0" fillId="0" fontId="11" numFmtId="0" xfId="0" applyFont="1"/>
    <xf borderId="3" fillId="6" fontId="11" numFmtId="3" xfId="0" applyBorder="1" applyFill="1" applyFont="1" applyNumberFormat="1"/>
    <xf borderId="23" fillId="0" fontId="12" numFmtId="0" xfId="0" applyBorder="1" applyFont="1"/>
    <xf borderId="26" fillId="6" fontId="12" numFmtId="165" xfId="0" applyAlignment="1" applyBorder="1" applyFill="1" applyFont="1" applyNumberFormat="1">
      <alignment horizontal="left"/>
    </xf>
    <xf borderId="23" fillId="0" fontId="12" numFmtId="0" xfId="0" applyAlignment="1" applyBorder="1" applyFont="1">
      <alignment horizontal="right"/>
    </xf>
    <xf borderId="26" fillId="6" fontId="12" numFmtId="1" xfId="0" applyAlignment="1" applyBorder="1" applyFill="1" applyFont="1" applyNumberFormat="1">
      <alignment horizontal="left"/>
    </xf>
    <xf borderId="3" fillId="6" fontId="7" numFmtId="3" xfId="0" applyBorder="1" applyFill="1" applyFont="1" applyNumberFormat="1"/>
    <xf borderId="0" fillId="0" fontId="7" numFmtId="0" xfId="0" applyAlignment="1" applyFont="1">
      <alignment horizontal="left"/>
    </xf>
    <xf borderId="22" fillId="7" fontId="9" numFmtId="0" xfId="0" applyAlignment="1" applyBorder="1" applyFill="1" applyFont="1">
      <alignment horizontal="center"/>
    </xf>
    <xf borderId="22" fillId="0" fontId="9" numFmtId="165" xfId="0" applyAlignment="1" applyBorder="1" applyFont="1" applyNumberFormat="1">
      <alignment horizontal="center"/>
    </xf>
    <xf borderId="0" fillId="0" fontId="13" numFmtId="165" xfId="0" applyFont="1" applyNumberFormat="1"/>
    <xf borderId="0" fillId="0" fontId="7" numFmtId="165" xfId="0" applyAlignment="1" applyFont="1" applyNumberFormat="1">
      <alignment horizontal="center"/>
    </xf>
    <xf borderId="3" fillId="7" fontId="7" numFmtId="165" xfId="0" applyBorder="1" applyFill="1" applyFont="1" applyNumberFormat="1"/>
    <xf borderId="0" fillId="0" fontId="9" numFmtId="0" xfId="0" applyFont="1"/>
    <xf borderId="0" fillId="0" fontId="9" numFmtId="0" xfId="0" applyAlignment="1" applyFont="1">
      <alignment horizontal="center"/>
    </xf>
    <xf borderId="0" fillId="0" fontId="9" numFmtId="165" xfId="0" applyAlignment="1" applyFont="1" applyNumberFormat="1">
      <alignment horizontal="center"/>
    </xf>
    <xf borderId="3" fillId="7" fontId="7" numFmtId="3" xfId="0" applyBorder="1" applyFill="1" applyFont="1" applyNumberFormat="1"/>
    <xf borderId="0" fillId="0" fontId="7" numFmtId="3" xfId="0" applyFont="1" applyNumberFormat="1"/>
    <xf borderId="3" fillId="7" fontId="7" numFmtId="165" xfId="0" applyAlignment="1" applyBorder="1" applyFill="1" applyFont="1" applyNumberFormat="1">
      <alignment horizontal="right"/>
    </xf>
    <xf borderId="24" fillId="0" fontId="10" numFmtId="0" xfId="0" applyBorder="1" applyFont="1"/>
    <xf borderId="25" fillId="0" fontId="10" numFmtId="0" xfId="0" applyBorder="1" applyFont="1"/>
    <xf borderId="3" fillId="12" fontId="7" numFmtId="0" xfId="0" applyBorder="1" applyFill="1" applyFont="1"/>
    <xf borderId="22" fillId="13" fontId="7" numFmtId="0" xfId="0" applyBorder="1" applyFill="1" applyFont="1"/>
    <xf borderId="22" fillId="11" fontId="9" numFmtId="165" xfId="0" applyBorder="1" applyFill="1" applyFont="1" applyNumberFormat="1"/>
    <xf borderId="0" fillId="0" fontId="3" numFmtId="0" xfId="0" applyAlignment="1" applyFont="1">
      <alignment readingOrder="0"/>
    </xf>
    <xf borderId="3" fillId="12" fontId="7" numFmtId="165" xfId="0" applyBorder="1" applyFill="1" applyFont="1" applyNumberFormat="1"/>
    <xf borderId="22" fillId="13" fontId="7" numFmtId="3" xfId="0" applyBorder="1" applyFill="1" applyFont="1" applyNumberFormat="1"/>
    <xf borderId="27" fillId="0" fontId="7" numFmtId="0" xfId="0" applyAlignment="1" applyBorder="1" applyFont="1">
      <alignment horizontal="center"/>
    </xf>
    <xf borderId="22" fillId="0" fontId="7" numFmtId="165" xfId="0" applyBorder="1" applyFont="1" applyNumberFormat="1"/>
    <xf borderId="28" fillId="0" fontId="10" numFmtId="0" xfId="0" applyBorder="1" applyFont="1"/>
    <xf borderId="29" fillId="0" fontId="10" numFmtId="0" xfId="0" applyBorder="1" applyFont="1"/>
    <xf borderId="22" fillId="0" fontId="7" numFmtId="3" xfId="0" applyBorder="1" applyFont="1" applyNumberFormat="1"/>
    <xf borderId="22" fillId="0" fontId="9" numFmtId="165" xfId="0" applyBorder="1" applyFont="1" applyNumberFormat="1"/>
    <xf borderId="3" fillId="7" fontId="9" numFmtId="165" xfId="0" applyBorder="1" applyFill="1" applyFont="1" applyNumberFormat="1"/>
    <xf borderId="3" fillId="7" fontId="9" numFmtId="3" xfId="0" applyBorder="1" applyFill="1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13" Type="http://schemas.openxmlformats.org/officeDocument/2006/relationships/worksheet" Target="worksheets/sheet10.xml"/><Relationship Id="rId12" Type="http://schemas.openxmlformats.org/officeDocument/2006/relationships/worksheet" Target="worksheets/sheet9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15" Type="http://schemas.openxmlformats.org/officeDocument/2006/relationships/worksheet" Target="worksheets/sheet12.xml"/><Relationship Id="rId14" Type="http://schemas.openxmlformats.org/officeDocument/2006/relationships/worksheet" Target="worksheets/sheet11.xml"/><Relationship Id="rId17" Type="http://customschemas.google.com/relationships/workbookmetadata" Target="metadata"/><Relationship Id="rId16" Type="http://schemas.openxmlformats.org/officeDocument/2006/relationships/pivotCacheDefinition" Target="pivotCache/pivotCacheDefinition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>
        <c:manualLayout>
          <c:xMode val="edge"/>
          <c:yMode val="edge"/>
          <c:x val="0.08943104223408228"/>
          <c:y val="0.1773707589258216"/>
          <c:w val="0.5745266955644074"/>
          <c:h val="0.64832070503921"/>
        </c:manualLayout>
      </c:layout>
      <c:pieChart>
        <c:varyColors val="1"/>
        <c:ser>
          <c:idx val="0"/>
          <c:order val="0"/>
          <c:dPt>
            <c:idx val="0"/>
            <c:spPr>
              <a:solidFill>
                <a:srgbClr val="4F81BD"/>
              </a:solidFill>
            </c:spPr>
          </c:dPt>
          <c:dPt>
            <c:idx val="1"/>
            <c:spPr>
              <a:solidFill>
                <a:srgbClr val="993366"/>
              </a:solidFill>
            </c:spPr>
          </c:dPt>
          <c:dPt>
            <c:idx val="2"/>
            <c:spPr>
              <a:solidFill>
                <a:srgbClr val="FFFFCC"/>
              </a:solidFill>
            </c:spPr>
          </c:dPt>
          <c:dPt>
            <c:idx val="3"/>
            <c:spPr>
              <a:solidFill>
                <a:srgbClr val="CCFFFF"/>
              </a:solidFill>
            </c:spPr>
          </c:dPt>
          <c:dPt>
            <c:idx val="4"/>
            <c:spPr>
              <a:solidFill>
                <a:srgbClr val="660066"/>
              </a:solidFill>
            </c:spPr>
          </c:dPt>
          <c:dPt>
            <c:idx val="5"/>
            <c:spPr>
              <a:solidFill>
                <a:srgbClr val="FF8080"/>
              </a:solidFill>
            </c:spPr>
          </c:dPt>
          <c:dPt>
            <c:idx val="6"/>
            <c:spPr>
              <a:solidFill>
                <a:srgbClr val="0066CC"/>
              </a:solidFill>
            </c:spPr>
          </c:dPt>
          <c:dLbls>
            <c:showLegendKey val="0"/>
            <c:showVal val="0"/>
            <c:showCatName val="0"/>
            <c:showSerName val="0"/>
            <c:showPercent val="0"/>
            <c:showBubbleSize val="0"/>
            <c:showLeaderLines val="1"/>
          </c:dLbls>
          <c:cat>
            <c:strRef>
              <c:f>'výsledek'!$A$5:$A$11</c:f>
            </c:strRef>
          </c:cat>
          <c:val>
            <c:numRef>
              <c:f>'výsledek'!$B$5:$B$11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firstSliceAng val="0"/>
      </c:pieChart>
    </c:plotArea>
    <c:legend>
      <c:legendPos val="r"/>
      <c:layout>
        <c:manualLayout>
          <c:xMode val="edge"/>
          <c:yMode val="edge"/>
          <c:x val="0.7423739490190844"/>
          <c:y val="0.007874015748031496"/>
        </c:manualLayout>
      </c:layout>
      <c:overlay val="0"/>
      <c:txPr>
        <a:bodyPr/>
        <a:lstStyle/>
        <a:p>
          <a:pPr lvl="0">
            <a:defRPr b="0" i="0" sz="900">
              <a:solidFill>
                <a:srgbClr val="000000"/>
              </a:solidFill>
              <a:latin typeface="Arial"/>
            </a:defRPr>
          </a:pPr>
        </a:p>
      </c:txPr>
    </c:legend>
    <c:plotVisOnly val="1"/>
  </c:chart>
  <c:spPr>
    <a:solidFill>
      <a:srgbClr val="FFFFFF"/>
    </a:solidFill>
  </c:spPr>
</c:chartSpace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</xdr:col>
      <xdr:colOff>47625</xdr:colOff>
      <xdr:row>1</xdr:row>
      <xdr:rowOff>57150</xdr:rowOff>
    </xdr:from>
    <xdr:ext cx="2695575" cy="2419350"/>
    <xdr:graphicFrame>
      <xdr:nvGraphicFramePr>
        <xdr:cNvPr id="934606065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pivotCache/_rels/pivotCacheDefinition1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1:L50" sheet="Výpočet dřeva"/>
  </cacheSource>
  <cacheFields>
    <cacheField name="Název dílu" numFmtId="0">
      <sharedItems containsString="0" containsBlank="1">
        <m/>
      </sharedItems>
    </cacheField>
    <cacheField name="Typ dřeva" numFmtId="0">
      <sharedItems>
        <s v="Nic"/>
      </sharedItems>
    </cacheField>
    <cacheField name="Šířka" numFmtId="0">
      <sharedItems containsString="0" containsBlank="1">
        <m/>
      </sharedItems>
    </cacheField>
    <cacheField name="Výška" numFmtId="0">
      <sharedItems containsString="0" containsBlank="1">
        <m/>
      </sharedItems>
    </cacheField>
    <cacheField name="Tloušťka" numFmtId="0">
      <sharedItems containsString="0" containsBlank="1">
        <m/>
      </sharedItems>
    </cacheField>
    <cacheField name="Povrchovka" numFmtId="0">
      <sharedItems containsString="0" containsBlank="1">
        <m/>
      </sharedItems>
    </cacheField>
    <cacheField name="Počet" numFmtId="0">
      <sharedItems containsString="0" containsBlank="1">
        <m/>
      </sharedItems>
    </cacheField>
    <cacheField name="Plocha m2" numFmtId="164">
      <sharedItems containsSemiMixedTypes="0" containsString="0" containsNumber="1" containsInteger="1">
        <n v="0.0"/>
      </sharedItems>
    </cacheField>
    <cacheField name="TL fošny" numFmtId="3">
      <sharedItems containsSemiMixedTypes="0" containsString="0" containsNumber="1" containsInteger="1">
        <n v="32.0"/>
      </sharedItems>
    </cacheField>
    <cacheField name="Objem m3" numFmtId="164">
      <sharedItems containsSemiMixedTypes="0" containsString="0" containsNumber="1" containsInteger="1">
        <n v="0.0"/>
      </sharedItems>
    </cacheField>
    <cacheField name="Cena/m3" numFmtId="3">
      <sharedItems containsSemiMixedTypes="0" containsString="0" containsNumber="1" containsInteger="1">
        <n v="0.0"/>
      </sharedItems>
    </cacheField>
    <cacheField name="Cena" numFmtId="3">
      <sharedItems containsSemiMixedTypes="0" containsString="0" containsNumber="1" containsInteger="1">
        <n v="0.0"/>
      </sharedItems>
    </cacheField>
  </cacheFields>
</pivotCacheDefinition>
</file>

<file path=xl/pivotTables/_rels/pivotTable1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Nákup" cacheId="0" dataCaption="" compact="0" compactData="0">
  <location ref="A3:D5" firstHeaderRow="0" firstDataRow="3" firstDataCol="0"/>
  <pivotFields>
    <pivotField name="Název dílu" compact="0" outline="0" multipleItemSelectionAllowed="1" showAll="0">
      <items>
        <item x="0"/>
        <item t="default"/>
      </items>
    </pivotField>
    <pivotField name="Typ dřeva" axis="axisRow" compact="0" outline="0" multipleItemSelectionAllowed="1" showAll="0">
      <items>
        <item sd="0" x="0"/>
        <item t="default"/>
      </items>
    </pivotField>
    <pivotField name="Šířka" compact="0" outline="0" multipleItemSelectionAllowed="1" showAll="0">
      <items>
        <item x="0"/>
        <item t="default"/>
      </items>
    </pivotField>
    <pivotField name="Výška" compact="0" outline="0" multipleItemSelectionAllowed="1" showAll="0">
      <items>
        <item x="0"/>
        <item t="default"/>
      </items>
    </pivotField>
    <pivotField name="Tloušťka" compact="0" outline="0" multipleItemSelectionAllowed="1" showAll="0">
      <items>
        <item x="0"/>
        <item t="default"/>
      </items>
    </pivotField>
    <pivotField name="Povrchovka" compact="0" outline="0" multipleItemSelectionAllowed="1" showAll="0">
      <items>
        <item x="0"/>
        <item t="default"/>
      </items>
    </pivotField>
    <pivotField name="Počet" compact="0" outline="0" multipleItemSelectionAllowed="1" showAll="0">
      <items>
        <item x="0"/>
        <item t="default"/>
      </items>
    </pivotField>
    <pivotField name="Plocha m2" dataField="1" compact="0" numFmtId="164" outline="0" multipleItemSelectionAllowed="1" showAll="0">
      <items>
        <item x="0"/>
        <item t="default"/>
      </items>
    </pivotField>
    <pivotField name="TL fošny" axis="axisRow" compact="0" numFmtId="3" outline="0" multipleItemSelectionAllowed="1" showAll="0">
      <items>
        <item sd="0" x="0"/>
        <item t="default"/>
      </items>
    </pivotField>
    <pivotField name="Objem m3" dataField="1" compact="0" numFmtId="164" outline="0" multipleItemSelectionAllowed="1" showAll="0">
      <items>
        <item x="0"/>
        <item t="default"/>
      </items>
    </pivotField>
    <pivotField name="Cena/m3" compact="0" numFmtId="3" outline="0" multipleItemSelectionAllowed="1" showAll="0">
      <items>
        <item x="0"/>
        <item t="default"/>
      </items>
    </pivotField>
    <pivotField name="Cena" compact="0" numFmtId="3" outline="0" multipleItemSelectionAllowed="1" showAll="0">
      <items>
        <item x="0"/>
        <item t="default"/>
      </items>
    </pivotField>
  </pivotFields>
  <rowFields>
    <field x="1"/>
    <field x="8"/>
  </rowFields>
  <colFields>
    <field x="-2"/>
  </colFields>
  <dataFields>
    <dataField name="Součet z Objem m3" fld="9" baseField="0"/>
    <dataField name="Součet z Plocha m2" fld="7" baseField="0"/>
  </dataFields>
</pivotTableDefinition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1.xml"/><Relationship Id="rId2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2.0"/>
    <col customWidth="1" min="2" max="2" width="2.14"/>
    <col customWidth="1" min="3" max="3" width="17.57"/>
    <col customWidth="1" min="4" max="26" width="8.71"/>
  </cols>
  <sheetData>
    <row r="1" ht="12.75" customHeight="1">
      <c r="A1" s="4" t="s">
        <v>3</v>
      </c>
      <c r="C1" s="6" t="s">
        <v>16</v>
      </c>
    </row>
    <row r="2" ht="12.75" customHeight="1">
      <c r="C2" s="9"/>
    </row>
    <row r="3" ht="12.75" customHeight="1">
      <c r="A3" s="4" t="s">
        <v>17</v>
      </c>
      <c r="C3" s="11">
        <v>0.0</v>
      </c>
      <c r="D3" s="4" t="s">
        <v>18</v>
      </c>
    </row>
    <row r="4" ht="12.75" customHeight="1"/>
    <row r="5" ht="12.75" customHeight="1">
      <c r="A5" s="4" t="s">
        <v>19</v>
      </c>
      <c r="C5" s="16">
        <f>'součty'!D87</f>
        <v>509.41</v>
      </c>
      <c r="D5" s="4" t="s">
        <v>18</v>
      </c>
    </row>
    <row r="6" ht="12.75" customHeight="1"/>
    <row r="7" ht="12.75" customHeight="1">
      <c r="A7" s="4" t="s">
        <v>21</v>
      </c>
      <c r="C7" s="17">
        <f>C3-C5</f>
        <v>-509.41</v>
      </c>
      <c r="D7" s="4" t="s">
        <v>18</v>
      </c>
    </row>
    <row r="8" ht="12.75" customHeight="1"/>
    <row r="9" ht="12.75" customHeight="1"/>
    <row r="10" ht="12.75" customHeight="1"/>
    <row r="11" ht="12.75" customHeight="1"/>
    <row r="12" ht="12.75" customHeight="1"/>
    <row r="13" ht="12.75" customHeight="1"/>
    <row r="14" ht="12.75" customHeight="1"/>
    <row r="15" ht="12.75" customHeight="1"/>
    <row r="16" ht="12.75" customHeight="1"/>
    <row r="17" ht="12.75" customHeight="1"/>
    <row r="18" ht="12.75" customHeight="1">
      <c r="C18" s="4" t="s">
        <v>22</v>
      </c>
      <c r="D18" s="9" t="b">
        <v>0</v>
      </c>
    </row>
    <row r="19" ht="12.75" customHeight="1"/>
    <row r="20" ht="12.75" customHeight="1"/>
    <row r="21" ht="12.75" customHeight="1"/>
    <row r="22" ht="12.75" customHeight="1"/>
    <row r="23" ht="12.75" customHeight="1"/>
    <row r="24" ht="12.75" customHeight="1"/>
    <row r="25" ht="12.75" customHeight="1"/>
    <row r="26" ht="12.75" customHeight="1"/>
    <row r="27" ht="12.75" customHeight="1"/>
    <row r="28" ht="12.75" customHeight="1"/>
    <row r="29" ht="12.75" customHeight="1"/>
    <row r="30" ht="12.75" customHeight="1"/>
    <row r="31" ht="12.75" customHeight="1"/>
    <row r="32" ht="12.75" customHeight="1"/>
    <row r="33" ht="12.75" customHeight="1"/>
    <row r="34" ht="12.75" customHeight="1"/>
    <row r="35" ht="12.75" customHeight="1"/>
    <row r="36" ht="12.75" customHeight="1"/>
    <row r="37" ht="12.75" customHeight="1"/>
    <row r="38" ht="12.75" customHeight="1"/>
    <row r="39" ht="12.75" customHeight="1"/>
    <row r="40" ht="12.75" customHeight="1"/>
    <row r="41" ht="12.75" customHeight="1"/>
    <row r="42" ht="12.75" customHeight="1"/>
    <row r="43" ht="12.75" customHeight="1"/>
    <row r="44" ht="12.75" customHeight="1"/>
    <row r="45" ht="12.75" customHeight="1"/>
    <row r="46" ht="12.75" customHeight="1"/>
    <row r="47" ht="12.75" customHeight="1"/>
    <row r="48" ht="12.75" customHeight="1"/>
    <row r="49" ht="12.75" customHeight="1"/>
    <row r="50" ht="12.75" customHeight="1"/>
    <row r="51" ht="12.75" customHeight="1"/>
    <row r="52" ht="12.75" customHeight="1"/>
    <row r="53" ht="12.75" customHeight="1"/>
    <row r="54" ht="12.75" customHeight="1"/>
    <row r="55" ht="12.75" customHeight="1"/>
    <row r="56" ht="12.75" customHeight="1"/>
    <row r="57" ht="12.75" customHeight="1"/>
    <row r="58" ht="12.75" customHeight="1"/>
    <row r="59" ht="12.75" customHeight="1"/>
    <row r="60" ht="12.75" customHeight="1"/>
    <row r="61" ht="12.75" customHeight="1"/>
    <row r="62" ht="12.75" customHeight="1"/>
    <row r="63" ht="12.75" customHeight="1"/>
    <row r="64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mergeCells count="1">
    <mergeCell ref="C2:D2"/>
  </mergeCells>
  <printOptions/>
  <pageMargins bottom="0.984251969" footer="0.0" header="0.0" left="0.787401575" right="0.787401575" top="0.984251969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92D050"/>
    <pageSetUpPr/>
  </sheetPr>
  <sheetViews>
    <sheetView workbookViewId="0"/>
  </sheetViews>
  <sheetFormatPr customHeight="1" defaultColWidth="14.43" defaultRowHeight="15.0"/>
  <cols>
    <col customWidth="1" min="1" max="1" width="35.0"/>
    <col customWidth="1" min="2" max="2" width="16.29"/>
    <col customWidth="1" min="3" max="3" width="10.14"/>
    <col customWidth="1" min="4" max="4" width="11.29"/>
    <col customWidth="1" min="5" max="5" width="15.14"/>
    <col customWidth="1" min="6" max="8" width="17.0"/>
    <col customWidth="1" min="9" max="9" width="14.43"/>
    <col customWidth="1" min="10" max="10" width="16.29"/>
    <col customWidth="1" min="11" max="11" width="18.71"/>
    <col customWidth="1" min="12" max="12" width="10.0"/>
    <col customWidth="1" min="13" max="13" width="8.71"/>
    <col customWidth="1" min="14" max="14" width="30.57"/>
    <col customWidth="1" min="15" max="15" width="18.71"/>
    <col customWidth="1" min="16" max="29" width="8.71"/>
  </cols>
  <sheetData>
    <row r="1" ht="12.75" customHeight="1">
      <c r="A1" s="3" t="s">
        <v>1</v>
      </c>
      <c r="B1" s="3" t="s">
        <v>5</v>
      </c>
      <c r="C1" s="3" t="s">
        <v>6</v>
      </c>
      <c r="D1" s="3" t="s">
        <v>7</v>
      </c>
      <c r="E1" s="3" t="s">
        <v>8</v>
      </c>
      <c r="F1" s="3" t="s">
        <v>9</v>
      </c>
      <c r="G1" s="3" t="s">
        <v>10</v>
      </c>
      <c r="H1" s="3" t="s">
        <v>11</v>
      </c>
      <c r="I1" s="3" t="s">
        <v>12</v>
      </c>
      <c r="J1" s="3" t="s">
        <v>13</v>
      </c>
      <c r="K1" s="3" t="s">
        <v>14</v>
      </c>
      <c r="L1" s="3" t="s">
        <v>15</v>
      </c>
      <c r="M1" s="8"/>
      <c r="N1" s="8"/>
      <c r="O1" s="8"/>
      <c r="P1" s="8"/>
      <c r="Q1" s="8"/>
      <c r="R1" s="12"/>
      <c r="S1" s="12"/>
      <c r="T1" s="8"/>
      <c r="U1" s="8"/>
      <c r="V1" s="8"/>
      <c r="W1" s="8"/>
      <c r="X1" s="8"/>
      <c r="Y1" s="8"/>
      <c r="Z1" s="8"/>
      <c r="AA1" s="8"/>
      <c r="AB1" s="8"/>
      <c r="AC1" s="13"/>
    </row>
    <row r="2" ht="12.75" customHeight="1">
      <c r="A2" s="14"/>
      <c r="B2" s="12" t="s">
        <v>20</v>
      </c>
      <c r="C2" s="15"/>
      <c r="D2" s="22"/>
      <c r="E2" s="22"/>
      <c r="F2" s="22"/>
      <c r="G2" s="22"/>
      <c r="H2" s="28">
        <f t="shared" ref="H2:H50" si="1">(C2*0.001*D2*0.001)*G2</f>
        <v>0</v>
      </c>
      <c r="I2" s="33">
        <f t="shared" ref="I2:I50" si="2">IF(E2 &lt; 29,32,50)</f>
        <v>32</v>
      </c>
      <c r="J2" s="28">
        <f t="shared" ref="J2:J50" si="3">H2*I2*0.001</f>
        <v>0</v>
      </c>
      <c r="K2" s="33">
        <f>VLOOKUP(B2,'Ceník dřeva'!$A$2:$D$18,IF(I2 &lt; 50,2,4),0)</f>
        <v>0</v>
      </c>
      <c r="L2" s="33">
        <f t="shared" ref="L2:L50" si="4">J2*K2</f>
        <v>0</v>
      </c>
      <c r="M2" s="33"/>
      <c r="N2" s="12"/>
      <c r="O2" s="12"/>
      <c r="P2" s="12"/>
      <c r="Q2" s="12"/>
      <c r="R2" s="12"/>
      <c r="S2" s="12"/>
      <c r="T2" s="12"/>
      <c r="U2" s="12"/>
      <c r="V2" s="12"/>
      <c r="W2" s="12"/>
      <c r="X2" s="12"/>
      <c r="Y2" s="12"/>
      <c r="Z2" s="12"/>
      <c r="AA2" s="12"/>
      <c r="AB2" s="12"/>
      <c r="AC2" s="38"/>
    </row>
    <row r="3" ht="12.75" customHeight="1">
      <c r="A3" s="14"/>
      <c r="B3" s="12" t="s">
        <v>20</v>
      </c>
      <c r="C3" s="15"/>
      <c r="D3" s="22"/>
      <c r="E3" s="22"/>
      <c r="F3" s="22"/>
      <c r="G3" s="22"/>
      <c r="H3" s="28">
        <f t="shared" si="1"/>
        <v>0</v>
      </c>
      <c r="I3" s="33">
        <f t="shared" si="2"/>
        <v>32</v>
      </c>
      <c r="J3" s="28">
        <f t="shared" si="3"/>
        <v>0</v>
      </c>
      <c r="K3" s="33">
        <f>VLOOKUP(B3,'Ceník dřeva'!$A$2:$D$18,IF(I3 &lt; 50,2,4),0)</f>
        <v>0</v>
      </c>
      <c r="L3" s="33">
        <f t="shared" si="4"/>
        <v>0</v>
      </c>
      <c r="M3" s="33"/>
      <c r="N3" s="12"/>
      <c r="O3" s="12"/>
      <c r="P3" s="12"/>
      <c r="Q3" s="12"/>
      <c r="R3" s="12"/>
      <c r="S3" s="12"/>
      <c r="T3" s="12"/>
      <c r="U3" s="12"/>
      <c r="V3" s="12"/>
      <c r="W3" s="12"/>
      <c r="X3" s="12"/>
      <c r="Y3" s="12"/>
      <c r="Z3" s="12"/>
      <c r="AA3" s="12"/>
      <c r="AB3" s="12"/>
      <c r="AC3" s="38"/>
    </row>
    <row r="4" ht="12.75" customHeight="1">
      <c r="A4" s="14"/>
      <c r="B4" s="12" t="s">
        <v>20</v>
      </c>
      <c r="C4" s="15"/>
      <c r="D4" s="22"/>
      <c r="E4" s="22"/>
      <c r="F4" s="22"/>
      <c r="G4" s="22"/>
      <c r="H4" s="28">
        <f t="shared" si="1"/>
        <v>0</v>
      </c>
      <c r="I4" s="33">
        <f t="shared" si="2"/>
        <v>32</v>
      </c>
      <c r="J4" s="28">
        <f t="shared" si="3"/>
        <v>0</v>
      </c>
      <c r="K4" s="33">
        <f>VLOOKUP(B4,'Ceník dřeva'!$A$2:$D$18,IF(I4 &lt; 50,2,4),0)</f>
        <v>0</v>
      </c>
      <c r="L4" s="33">
        <f t="shared" si="4"/>
        <v>0</v>
      </c>
      <c r="M4" s="33"/>
      <c r="P4" s="12"/>
      <c r="Q4" s="12"/>
      <c r="R4" s="12"/>
      <c r="S4" s="12"/>
      <c r="T4" s="12"/>
      <c r="U4" s="12"/>
      <c r="V4" s="12"/>
      <c r="W4" s="12"/>
      <c r="X4" s="12"/>
      <c r="Y4" s="12"/>
      <c r="Z4" s="12"/>
      <c r="AA4" s="12"/>
      <c r="AB4" s="12"/>
      <c r="AC4" s="38"/>
    </row>
    <row r="5" ht="12.75" customHeight="1">
      <c r="A5" s="14"/>
      <c r="B5" s="12" t="s">
        <v>20</v>
      </c>
      <c r="C5" s="15"/>
      <c r="D5" s="22"/>
      <c r="E5" s="22"/>
      <c r="F5" s="22"/>
      <c r="G5" s="22"/>
      <c r="H5" s="28">
        <f t="shared" si="1"/>
        <v>0</v>
      </c>
      <c r="I5" s="33">
        <f t="shared" si="2"/>
        <v>32</v>
      </c>
      <c r="J5" s="28">
        <f t="shared" si="3"/>
        <v>0</v>
      </c>
      <c r="K5" s="33">
        <f>VLOOKUP(B5,'Ceník dřeva'!$A$2:$D$18,IF(I5 &lt; 50,2,4),0)</f>
        <v>0</v>
      </c>
      <c r="L5" s="33">
        <f t="shared" si="4"/>
        <v>0</v>
      </c>
      <c r="M5" s="33"/>
      <c r="P5" s="12"/>
      <c r="Q5" s="12"/>
      <c r="R5" s="12"/>
      <c r="S5" s="12"/>
      <c r="T5" s="12"/>
      <c r="U5" s="12"/>
      <c r="V5" s="12"/>
      <c r="W5" s="12"/>
      <c r="X5" s="12"/>
      <c r="Y5" s="12"/>
      <c r="Z5" s="12"/>
      <c r="AA5" s="12"/>
      <c r="AB5" s="12"/>
      <c r="AC5" s="38"/>
    </row>
    <row r="6" ht="12.75" customHeight="1">
      <c r="A6" s="14"/>
      <c r="B6" s="12" t="s">
        <v>20</v>
      </c>
      <c r="C6" s="15"/>
      <c r="D6" s="22"/>
      <c r="E6" s="22"/>
      <c r="F6" s="22"/>
      <c r="G6" s="22"/>
      <c r="H6" s="28">
        <f t="shared" si="1"/>
        <v>0</v>
      </c>
      <c r="I6" s="33">
        <f t="shared" si="2"/>
        <v>32</v>
      </c>
      <c r="J6" s="28">
        <f t="shared" si="3"/>
        <v>0</v>
      </c>
      <c r="K6" s="33">
        <f>VLOOKUP(B6,'Ceník dřeva'!$A$2:$D$18,IF(I6 &lt; 50,2,4),0)</f>
        <v>0</v>
      </c>
      <c r="L6" s="33">
        <f t="shared" si="4"/>
        <v>0</v>
      </c>
      <c r="M6" s="33"/>
      <c r="P6" s="12"/>
      <c r="Q6" s="12"/>
      <c r="R6" s="12"/>
      <c r="S6" s="12"/>
      <c r="T6" s="12"/>
      <c r="U6" s="12"/>
      <c r="V6" s="12"/>
      <c r="W6" s="12"/>
      <c r="X6" s="12"/>
      <c r="Y6" s="12"/>
      <c r="Z6" s="12"/>
      <c r="AA6" s="12"/>
      <c r="AB6" s="12"/>
      <c r="AC6" s="38"/>
    </row>
    <row r="7" ht="12.75" customHeight="1">
      <c r="A7" s="14"/>
      <c r="B7" s="12" t="s">
        <v>20</v>
      </c>
      <c r="C7" s="15"/>
      <c r="D7" s="22"/>
      <c r="E7" s="22"/>
      <c r="F7" s="22"/>
      <c r="G7" s="22"/>
      <c r="H7" s="28">
        <f t="shared" si="1"/>
        <v>0</v>
      </c>
      <c r="I7" s="33">
        <f t="shared" si="2"/>
        <v>32</v>
      </c>
      <c r="J7" s="28">
        <f t="shared" si="3"/>
        <v>0</v>
      </c>
      <c r="K7" s="33">
        <f>VLOOKUP(B7,'Ceník dřeva'!$A$2:$D$18,IF(I7 &lt; 50,2,4),0)</f>
        <v>0</v>
      </c>
      <c r="L7" s="33">
        <f t="shared" si="4"/>
        <v>0</v>
      </c>
      <c r="M7" s="33"/>
      <c r="P7" s="12"/>
      <c r="Q7" s="12"/>
      <c r="R7" s="12"/>
      <c r="S7" s="12"/>
      <c r="T7" s="12"/>
      <c r="U7" s="12"/>
      <c r="V7" s="12"/>
      <c r="W7" s="12"/>
      <c r="X7" s="12"/>
      <c r="Y7" s="12"/>
      <c r="Z7" s="12"/>
      <c r="AA7" s="12"/>
      <c r="AB7" s="12"/>
      <c r="AC7" s="38"/>
    </row>
    <row r="8" ht="12.75" customHeight="1">
      <c r="A8" s="14"/>
      <c r="B8" s="12" t="s">
        <v>20</v>
      </c>
      <c r="C8" s="15"/>
      <c r="D8" s="22"/>
      <c r="E8" s="22"/>
      <c r="F8" s="22"/>
      <c r="G8" s="22"/>
      <c r="H8" s="28">
        <f t="shared" si="1"/>
        <v>0</v>
      </c>
      <c r="I8" s="33">
        <f t="shared" si="2"/>
        <v>32</v>
      </c>
      <c r="J8" s="28">
        <f t="shared" si="3"/>
        <v>0</v>
      </c>
      <c r="K8" s="33">
        <f>VLOOKUP(B8,'Ceník dřeva'!$A$2:$D$18,IF(I8 &lt; 50,2,4),0)</f>
        <v>0</v>
      </c>
      <c r="L8" s="33">
        <f t="shared" si="4"/>
        <v>0</v>
      </c>
      <c r="M8" s="33"/>
      <c r="P8" s="12"/>
      <c r="Q8" s="12"/>
      <c r="R8" s="12"/>
      <c r="S8" s="12"/>
      <c r="T8" s="12"/>
      <c r="U8" s="12"/>
      <c r="V8" s="12"/>
      <c r="W8" s="12"/>
      <c r="X8" s="12"/>
      <c r="Y8" s="12"/>
      <c r="Z8" s="12"/>
      <c r="AA8" s="12"/>
      <c r="AB8" s="12"/>
      <c r="AC8" s="38"/>
    </row>
    <row r="9" ht="12.75" customHeight="1">
      <c r="A9" s="14"/>
      <c r="B9" s="12" t="s">
        <v>20</v>
      </c>
      <c r="C9" s="15"/>
      <c r="D9" s="22"/>
      <c r="E9" s="22"/>
      <c r="F9" s="22"/>
      <c r="G9" s="22"/>
      <c r="H9" s="28">
        <f t="shared" si="1"/>
        <v>0</v>
      </c>
      <c r="I9" s="33">
        <f t="shared" si="2"/>
        <v>32</v>
      </c>
      <c r="J9" s="28">
        <f t="shared" si="3"/>
        <v>0</v>
      </c>
      <c r="K9" s="33">
        <f>VLOOKUP(B9,'Ceník dřeva'!$A$2:$D$18,IF(I9 &lt; 50,2,4),0)</f>
        <v>0</v>
      </c>
      <c r="L9" s="33">
        <f t="shared" si="4"/>
        <v>0</v>
      </c>
      <c r="M9" s="33"/>
      <c r="P9" s="12"/>
      <c r="Q9" s="12"/>
      <c r="R9" s="12"/>
      <c r="S9" s="12"/>
      <c r="T9" s="12"/>
      <c r="U9" s="12"/>
      <c r="V9" s="12"/>
      <c r="W9" s="12"/>
      <c r="X9" s="12"/>
      <c r="Y9" s="12"/>
      <c r="Z9" s="12"/>
      <c r="AA9" s="12"/>
      <c r="AB9" s="12"/>
      <c r="AC9" s="38"/>
    </row>
    <row r="10" ht="12.75" customHeight="1">
      <c r="A10" s="14"/>
      <c r="B10" s="12" t="s">
        <v>20</v>
      </c>
      <c r="C10" s="15"/>
      <c r="D10" s="22"/>
      <c r="E10" s="22"/>
      <c r="F10" s="22"/>
      <c r="G10" s="22"/>
      <c r="H10" s="28">
        <f t="shared" si="1"/>
        <v>0</v>
      </c>
      <c r="I10" s="33">
        <f t="shared" si="2"/>
        <v>32</v>
      </c>
      <c r="J10" s="28">
        <f t="shared" si="3"/>
        <v>0</v>
      </c>
      <c r="K10" s="33">
        <f>VLOOKUP(B10,'Ceník dřeva'!$A$2:$D$18,IF(I10 &lt; 50,2,4),0)</f>
        <v>0</v>
      </c>
      <c r="L10" s="33">
        <f t="shared" si="4"/>
        <v>0</v>
      </c>
      <c r="M10" s="33"/>
      <c r="P10" s="12"/>
      <c r="Q10" s="12"/>
      <c r="R10" s="12"/>
      <c r="S10" s="12"/>
      <c r="T10" s="12"/>
      <c r="U10" s="12"/>
      <c r="V10" s="12"/>
      <c r="W10" s="12"/>
      <c r="X10" s="12"/>
      <c r="Y10" s="12"/>
      <c r="Z10" s="12"/>
      <c r="AA10" s="12"/>
      <c r="AB10" s="12"/>
      <c r="AC10" s="38"/>
    </row>
    <row r="11" ht="12.75" customHeight="1">
      <c r="A11" s="14"/>
      <c r="B11" s="12" t="s">
        <v>20</v>
      </c>
      <c r="C11" s="15"/>
      <c r="D11" s="22"/>
      <c r="E11" s="22"/>
      <c r="F11" s="22"/>
      <c r="G11" s="22"/>
      <c r="H11" s="28">
        <f t="shared" si="1"/>
        <v>0</v>
      </c>
      <c r="I11" s="33">
        <f t="shared" si="2"/>
        <v>32</v>
      </c>
      <c r="J11" s="28">
        <f t="shared" si="3"/>
        <v>0</v>
      </c>
      <c r="K11" s="33">
        <f>VLOOKUP(B11,'Ceník dřeva'!$A$2:$D$18,IF(I11 &lt; 50,2,4),0)</f>
        <v>0</v>
      </c>
      <c r="L11" s="33">
        <f t="shared" si="4"/>
        <v>0</v>
      </c>
      <c r="M11" s="33"/>
      <c r="N11" s="12"/>
      <c r="O11" s="12"/>
      <c r="P11" s="12"/>
      <c r="Q11" s="12"/>
      <c r="R11" s="12"/>
      <c r="S11" s="12"/>
      <c r="T11" s="12"/>
      <c r="U11" s="12"/>
      <c r="V11" s="12"/>
      <c r="W11" s="12"/>
      <c r="X11" s="12"/>
      <c r="Y11" s="12"/>
      <c r="Z11" s="12"/>
      <c r="AA11" s="12"/>
      <c r="AB11" s="12"/>
      <c r="AC11" s="38"/>
    </row>
    <row r="12" ht="12.75" customHeight="1">
      <c r="A12" s="14"/>
      <c r="B12" s="12" t="s">
        <v>20</v>
      </c>
      <c r="C12" s="15"/>
      <c r="D12" s="22"/>
      <c r="E12" s="22"/>
      <c r="F12" s="22"/>
      <c r="G12" s="22"/>
      <c r="H12" s="28">
        <f t="shared" si="1"/>
        <v>0</v>
      </c>
      <c r="I12" s="33">
        <f t="shared" si="2"/>
        <v>32</v>
      </c>
      <c r="J12" s="28">
        <f t="shared" si="3"/>
        <v>0</v>
      </c>
      <c r="K12" s="33">
        <f>VLOOKUP(B12,'Ceník dřeva'!$A$2:$D$18,IF(I12 &lt; 50,2,4),0)</f>
        <v>0</v>
      </c>
      <c r="L12" s="33">
        <f t="shared" si="4"/>
        <v>0</v>
      </c>
      <c r="M12" s="33"/>
      <c r="N12" s="12"/>
      <c r="O12" s="12"/>
      <c r="P12" s="12"/>
      <c r="Q12" s="12"/>
      <c r="R12" s="12"/>
      <c r="S12" s="12"/>
      <c r="T12" s="12"/>
      <c r="U12" s="12"/>
      <c r="V12" s="12"/>
      <c r="W12" s="12"/>
      <c r="X12" s="12"/>
      <c r="Y12" s="12"/>
      <c r="Z12" s="12"/>
      <c r="AA12" s="12"/>
      <c r="AB12" s="12"/>
      <c r="AC12" s="38"/>
    </row>
    <row r="13" ht="12.75" customHeight="1">
      <c r="A13" s="14"/>
      <c r="B13" s="12" t="s">
        <v>20</v>
      </c>
      <c r="C13" s="15"/>
      <c r="D13" s="22"/>
      <c r="E13" s="22"/>
      <c r="F13" s="22"/>
      <c r="G13" s="22"/>
      <c r="H13" s="28">
        <f t="shared" si="1"/>
        <v>0</v>
      </c>
      <c r="I13" s="33">
        <f t="shared" si="2"/>
        <v>32</v>
      </c>
      <c r="J13" s="28">
        <f t="shared" si="3"/>
        <v>0</v>
      </c>
      <c r="K13" s="33">
        <f>VLOOKUP(B13,'Ceník dřeva'!$A$2:$D$18,IF(I13 &lt; 50,2,4),0)</f>
        <v>0</v>
      </c>
      <c r="L13" s="33">
        <f t="shared" si="4"/>
        <v>0</v>
      </c>
      <c r="M13" s="33"/>
      <c r="N13" s="12"/>
      <c r="O13" s="12"/>
      <c r="P13" s="12"/>
      <c r="Q13" s="12"/>
      <c r="R13" s="12"/>
      <c r="S13" s="12"/>
      <c r="T13" s="12"/>
      <c r="U13" s="12"/>
      <c r="V13" s="12"/>
      <c r="W13" s="12"/>
      <c r="X13" s="12"/>
      <c r="Y13" s="12"/>
      <c r="Z13" s="12"/>
      <c r="AA13" s="12"/>
      <c r="AB13" s="12"/>
      <c r="AC13" s="38"/>
    </row>
    <row r="14" ht="12.75" customHeight="1">
      <c r="A14" s="14"/>
      <c r="B14" s="12" t="s">
        <v>20</v>
      </c>
      <c r="C14" s="15"/>
      <c r="D14" s="22"/>
      <c r="E14" s="22"/>
      <c r="F14" s="22"/>
      <c r="G14" s="22"/>
      <c r="H14" s="28">
        <f t="shared" si="1"/>
        <v>0</v>
      </c>
      <c r="I14" s="33">
        <f t="shared" si="2"/>
        <v>32</v>
      </c>
      <c r="J14" s="28">
        <f t="shared" si="3"/>
        <v>0</v>
      </c>
      <c r="K14" s="33">
        <f>VLOOKUP(B14,'Ceník dřeva'!$A$2:$D$18,IF(I14 &lt; 50,2,4),0)</f>
        <v>0</v>
      </c>
      <c r="L14" s="33">
        <f t="shared" si="4"/>
        <v>0</v>
      </c>
      <c r="M14" s="33"/>
      <c r="N14" s="12"/>
      <c r="O14" s="12"/>
      <c r="P14" s="12"/>
      <c r="Q14" s="12"/>
      <c r="R14" s="12"/>
      <c r="S14" s="12"/>
      <c r="T14" s="12"/>
      <c r="U14" s="12"/>
      <c r="V14" s="12"/>
      <c r="W14" s="12"/>
      <c r="X14" s="12"/>
      <c r="Y14" s="12"/>
      <c r="Z14" s="12"/>
      <c r="AA14" s="12"/>
      <c r="AB14" s="12"/>
      <c r="AC14" s="38"/>
    </row>
    <row r="15" ht="12.75" customHeight="1">
      <c r="A15" s="14"/>
      <c r="B15" s="12" t="s">
        <v>20</v>
      </c>
      <c r="C15" s="15"/>
      <c r="D15" s="22"/>
      <c r="E15" s="22"/>
      <c r="F15" s="22"/>
      <c r="G15" s="22"/>
      <c r="H15" s="28">
        <f t="shared" si="1"/>
        <v>0</v>
      </c>
      <c r="I15" s="33">
        <f t="shared" si="2"/>
        <v>32</v>
      </c>
      <c r="J15" s="28">
        <f t="shared" si="3"/>
        <v>0</v>
      </c>
      <c r="K15" s="33">
        <f>VLOOKUP(B15,'Ceník dřeva'!$A$2:$D$18,IF(I15 &lt; 50,2,4),0)</f>
        <v>0</v>
      </c>
      <c r="L15" s="33">
        <f t="shared" si="4"/>
        <v>0</v>
      </c>
      <c r="M15" s="33"/>
      <c r="N15" s="12"/>
      <c r="O15" s="12"/>
      <c r="P15" s="12"/>
      <c r="Q15" s="12"/>
      <c r="R15" s="12"/>
      <c r="S15" s="12"/>
      <c r="T15" s="12"/>
      <c r="U15" s="12"/>
      <c r="V15" s="12"/>
      <c r="W15" s="12"/>
      <c r="X15" s="12"/>
      <c r="Y15" s="12"/>
      <c r="Z15" s="12"/>
      <c r="AA15" s="12"/>
      <c r="AB15" s="12"/>
      <c r="AC15" s="38"/>
    </row>
    <row r="16" ht="12.75" customHeight="1">
      <c r="A16" s="14"/>
      <c r="B16" s="12" t="s">
        <v>20</v>
      </c>
      <c r="C16" s="15"/>
      <c r="D16" s="22"/>
      <c r="E16" s="22"/>
      <c r="F16" s="22"/>
      <c r="G16" s="22"/>
      <c r="H16" s="28">
        <f t="shared" si="1"/>
        <v>0</v>
      </c>
      <c r="I16" s="33">
        <f t="shared" si="2"/>
        <v>32</v>
      </c>
      <c r="J16" s="28">
        <f t="shared" si="3"/>
        <v>0</v>
      </c>
      <c r="K16" s="33">
        <f>VLOOKUP(B16,'Ceník dřeva'!$A$2:$D$18,IF(I16 &lt; 50,2,4),0)</f>
        <v>0</v>
      </c>
      <c r="L16" s="33">
        <f t="shared" si="4"/>
        <v>0</v>
      </c>
      <c r="M16" s="33"/>
      <c r="N16" s="12"/>
      <c r="O16" s="12"/>
      <c r="P16" s="12"/>
      <c r="Q16" s="12"/>
      <c r="R16" s="12"/>
      <c r="S16" s="12"/>
      <c r="T16" s="12"/>
      <c r="U16" s="12"/>
      <c r="V16" s="12"/>
      <c r="W16" s="12"/>
      <c r="X16" s="12"/>
      <c r="Y16" s="12"/>
      <c r="Z16" s="12"/>
      <c r="AA16" s="12"/>
      <c r="AB16" s="12"/>
      <c r="AC16" s="38"/>
    </row>
    <row r="17" ht="12.75" customHeight="1">
      <c r="A17" s="14"/>
      <c r="B17" s="12" t="s">
        <v>20</v>
      </c>
      <c r="C17" s="15"/>
      <c r="D17" s="22"/>
      <c r="E17" s="22"/>
      <c r="F17" s="22"/>
      <c r="G17" s="22"/>
      <c r="H17" s="28">
        <f t="shared" si="1"/>
        <v>0</v>
      </c>
      <c r="I17" s="33">
        <f t="shared" si="2"/>
        <v>32</v>
      </c>
      <c r="J17" s="28">
        <f t="shared" si="3"/>
        <v>0</v>
      </c>
      <c r="K17" s="33">
        <f>VLOOKUP(B17,'Ceník dřeva'!$A$2:$D$18,IF(I17 &lt; 50,2,4),0)</f>
        <v>0</v>
      </c>
      <c r="L17" s="33">
        <f t="shared" si="4"/>
        <v>0</v>
      </c>
      <c r="M17" s="33"/>
      <c r="N17" s="12"/>
      <c r="O17" s="12"/>
      <c r="P17" s="12"/>
      <c r="Q17" s="12"/>
      <c r="R17" s="12"/>
      <c r="S17" s="12"/>
      <c r="T17" s="12"/>
      <c r="U17" s="12"/>
      <c r="V17" s="12"/>
      <c r="W17" s="12"/>
      <c r="X17" s="12"/>
      <c r="Y17" s="12"/>
      <c r="Z17" s="12"/>
      <c r="AA17" s="12"/>
      <c r="AB17" s="12"/>
      <c r="AC17" s="38"/>
    </row>
    <row r="18" ht="12.75" customHeight="1">
      <c r="A18" s="14"/>
      <c r="B18" s="12" t="s">
        <v>20</v>
      </c>
      <c r="C18" s="15"/>
      <c r="D18" s="22"/>
      <c r="E18" s="22"/>
      <c r="F18" s="22"/>
      <c r="G18" s="22"/>
      <c r="H18" s="28">
        <f t="shared" si="1"/>
        <v>0</v>
      </c>
      <c r="I18" s="33">
        <f t="shared" si="2"/>
        <v>32</v>
      </c>
      <c r="J18" s="28">
        <f t="shared" si="3"/>
        <v>0</v>
      </c>
      <c r="K18" s="33">
        <f>VLOOKUP(B18,'Ceník dřeva'!$A$2:$D$18,IF(I18 &lt; 50,2,4),0)</f>
        <v>0</v>
      </c>
      <c r="L18" s="33">
        <f t="shared" si="4"/>
        <v>0</v>
      </c>
      <c r="M18" s="33"/>
      <c r="N18" s="12"/>
      <c r="O18" s="12"/>
      <c r="P18" s="12"/>
      <c r="Q18" s="12"/>
      <c r="R18" s="12"/>
      <c r="S18" s="12"/>
      <c r="T18" s="12"/>
      <c r="U18" s="12"/>
      <c r="V18" s="12"/>
      <c r="W18" s="12"/>
      <c r="X18" s="12"/>
      <c r="Y18" s="12"/>
      <c r="Z18" s="12"/>
      <c r="AA18" s="12"/>
      <c r="AB18" s="12"/>
      <c r="AC18" s="38"/>
    </row>
    <row r="19" ht="12.75" customHeight="1">
      <c r="A19" s="14"/>
      <c r="B19" s="12" t="s">
        <v>20</v>
      </c>
      <c r="C19" s="15"/>
      <c r="D19" s="22"/>
      <c r="E19" s="22"/>
      <c r="F19" s="22"/>
      <c r="G19" s="22"/>
      <c r="H19" s="28">
        <f t="shared" si="1"/>
        <v>0</v>
      </c>
      <c r="I19" s="33">
        <f t="shared" si="2"/>
        <v>32</v>
      </c>
      <c r="J19" s="28">
        <f t="shared" si="3"/>
        <v>0</v>
      </c>
      <c r="K19" s="33">
        <f>VLOOKUP(B19,'Ceník dřeva'!$A$2:$D$18,IF(I19 &lt; 50,2,4),0)</f>
        <v>0</v>
      </c>
      <c r="L19" s="33">
        <f t="shared" si="4"/>
        <v>0</v>
      </c>
      <c r="M19" s="33"/>
      <c r="N19" s="12"/>
      <c r="O19" s="12"/>
      <c r="P19" s="12"/>
      <c r="Q19" s="12"/>
      <c r="R19" s="12"/>
      <c r="S19" s="12"/>
      <c r="T19" s="12"/>
      <c r="U19" s="12"/>
      <c r="V19" s="12"/>
      <c r="W19" s="12"/>
      <c r="X19" s="12"/>
      <c r="Y19" s="12"/>
      <c r="Z19" s="12"/>
      <c r="AA19" s="12"/>
      <c r="AB19" s="12"/>
      <c r="AC19" s="38"/>
    </row>
    <row r="20" ht="12.75" customHeight="1">
      <c r="A20" s="14"/>
      <c r="B20" s="12" t="s">
        <v>20</v>
      </c>
      <c r="C20" s="15"/>
      <c r="D20" s="22"/>
      <c r="E20" s="22"/>
      <c r="F20" s="22"/>
      <c r="G20" s="22"/>
      <c r="H20" s="28">
        <f t="shared" si="1"/>
        <v>0</v>
      </c>
      <c r="I20" s="33">
        <f t="shared" si="2"/>
        <v>32</v>
      </c>
      <c r="J20" s="28">
        <f t="shared" si="3"/>
        <v>0</v>
      </c>
      <c r="K20" s="33">
        <f>VLOOKUP(B20,'Ceník dřeva'!$A$2:$D$18,IF(I20 &lt; 50,2,4),0)</f>
        <v>0</v>
      </c>
      <c r="L20" s="33">
        <f t="shared" si="4"/>
        <v>0</v>
      </c>
      <c r="M20" s="33"/>
      <c r="N20" s="12"/>
      <c r="O20" s="12"/>
      <c r="P20" s="12"/>
      <c r="Q20" s="12"/>
      <c r="R20" s="12"/>
      <c r="S20" s="12"/>
      <c r="T20" s="12"/>
      <c r="U20" s="12"/>
      <c r="V20" s="12"/>
      <c r="W20" s="12"/>
      <c r="X20" s="12"/>
      <c r="Y20" s="12"/>
      <c r="Z20" s="12"/>
      <c r="AA20" s="12"/>
      <c r="AB20" s="12"/>
      <c r="AC20" s="38"/>
    </row>
    <row r="21" ht="12.75" customHeight="1">
      <c r="A21" s="14"/>
      <c r="B21" s="12" t="s">
        <v>20</v>
      </c>
      <c r="C21" s="15"/>
      <c r="D21" s="22"/>
      <c r="E21" s="22"/>
      <c r="F21" s="22"/>
      <c r="G21" s="22"/>
      <c r="H21" s="28">
        <f t="shared" si="1"/>
        <v>0</v>
      </c>
      <c r="I21" s="33">
        <f t="shared" si="2"/>
        <v>32</v>
      </c>
      <c r="J21" s="28">
        <f t="shared" si="3"/>
        <v>0</v>
      </c>
      <c r="K21" s="33">
        <f>VLOOKUP(B21,'Ceník dřeva'!$A$2:$D$18,IF(I21 &lt; 50,2,4),0)</f>
        <v>0</v>
      </c>
      <c r="L21" s="33">
        <f t="shared" si="4"/>
        <v>0</v>
      </c>
      <c r="M21" s="33"/>
      <c r="N21" s="12"/>
      <c r="O21" s="12"/>
      <c r="P21" s="12"/>
      <c r="Q21" s="12"/>
      <c r="R21" s="12"/>
      <c r="S21" s="12"/>
      <c r="T21" s="12"/>
      <c r="U21" s="12"/>
      <c r="V21" s="12"/>
      <c r="W21" s="12"/>
      <c r="X21" s="12"/>
      <c r="Y21" s="12"/>
      <c r="Z21" s="12"/>
      <c r="AA21" s="12"/>
      <c r="AB21" s="12"/>
      <c r="AC21" s="38"/>
    </row>
    <row r="22" ht="12.75" customHeight="1">
      <c r="A22" s="14"/>
      <c r="B22" s="12" t="s">
        <v>20</v>
      </c>
      <c r="C22" s="15"/>
      <c r="D22" s="22"/>
      <c r="E22" s="22"/>
      <c r="F22" s="22"/>
      <c r="G22" s="22"/>
      <c r="H22" s="28">
        <f t="shared" si="1"/>
        <v>0</v>
      </c>
      <c r="I22" s="33">
        <f t="shared" si="2"/>
        <v>32</v>
      </c>
      <c r="J22" s="28">
        <f t="shared" si="3"/>
        <v>0</v>
      </c>
      <c r="K22" s="33">
        <f>VLOOKUP(B22,'Ceník dřeva'!$A$2:$D$18,IF(I22 &lt; 50,2,4),0)</f>
        <v>0</v>
      </c>
      <c r="L22" s="33">
        <f t="shared" si="4"/>
        <v>0</v>
      </c>
      <c r="M22" s="33"/>
      <c r="N22" s="12"/>
      <c r="O22" s="12"/>
      <c r="P22" s="12"/>
      <c r="Q22" s="12"/>
      <c r="R22" s="12"/>
      <c r="S22" s="12"/>
      <c r="T22" s="12"/>
      <c r="U22" s="12"/>
      <c r="V22" s="12"/>
      <c r="W22" s="12"/>
      <c r="X22" s="12"/>
      <c r="Y22" s="12"/>
      <c r="Z22" s="12"/>
      <c r="AA22" s="12"/>
      <c r="AB22" s="12"/>
      <c r="AC22" s="38"/>
    </row>
    <row r="23" ht="12.75" customHeight="1">
      <c r="A23" s="14"/>
      <c r="B23" s="12" t="s">
        <v>20</v>
      </c>
      <c r="C23" s="15"/>
      <c r="D23" s="22"/>
      <c r="E23" s="22"/>
      <c r="F23" s="22"/>
      <c r="G23" s="22"/>
      <c r="H23" s="28">
        <f t="shared" si="1"/>
        <v>0</v>
      </c>
      <c r="I23" s="33">
        <f t="shared" si="2"/>
        <v>32</v>
      </c>
      <c r="J23" s="28">
        <f t="shared" si="3"/>
        <v>0</v>
      </c>
      <c r="K23" s="33">
        <f>VLOOKUP(B23,'Ceník dřeva'!$A$2:$D$18,IF(I23 &lt; 50,2,4),0)</f>
        <v>0</v>
      </c>
      <c r="L23" s="33">
        <f t="shared" si="4"/>
        <v>0</v>
      </c>
      <c r="M23" s="33"/>
      <c r="N23" s="12"/>
      <c r="O23" s="12"/>
      <c r="P23" s="12"/>
      <c r="Q23" s="12"/>
      <c r="R23" s="12"/>
      <c r="S23" s="12"/>
      <c r="T23" s="12"/>
      <c r="U23" s="12"/>
      <c r="V23" s="12"/>
      <c r="W23" s="12"/>
      <c r="X23" s="12"/>
      <c r="Y23" s="12"/>
      <c r="Z23" s="12"/>
      <c r="AA23" s="12"/>
      <c r="AB23" s="12"/>
      <c r="AC23" s="38"/>
    </row>
    <row r="24" ht="12.75" customHeight="1">
      <c r="A24" s="14"/>
      <c r="B24" s="12" t="s">
        <v>20</v>
      </c>
      <c r="C24" s="15"/>
      <c r="D24" s="22"/>
      <c r="E24" s="22"/>
      <c r="F24" s="22"/>
      <c r="G24" s="22"/>
      <c r="H24" s="28">
        <f t="shared" si="1"/>
        <v>0</v>
      </c>
      <c r="I24" s="33">
        <f t="shared" si="2"/>
        <v>32</v>
      </c>
      <c r="J24" s="28">
        <f t="shared" si="3"/>
        <v>0</v>
      </c>
      <c r="K24" s="33">
        <f>VLOOKUP(B24,'Ceník dřeva'!$A$2:$D$18,IF(I24 &lt; 50,2,4),0)</f>
        <v>0</v>
      </c>
      <c r="L24" s="33">
        <f t="shared" si="4"/>
        <v>0</v>
      </c>
      <c r="M24" s="33"/>
      <c r="N24" s="12"/>
      <c r="O24" s="12"/>
      <c r="P24" s="12"/>
      <c r="Q24" s="12"/>
      <c r="R24" s="12"/>
      <c r="S24" s="12"/>
      <c r="T24" s="12"/>
      <c r="U24" s="12"/>
      <c r="V24" s="12"/>
      <c r="W24" s="12"/>
      <c r="X24" s="12"/>
      <c r="Y24" s="12"/>
      <c r="Z24" s="12"/>
      <c r="AA24" s="12"/>
      <c r="AB24" s="12"/>
      <c r="AC24" s="38"/>
    </row>
    <row r="25" ht="12.75" customHeight="1">
      <c r="A25" s="14"/>
      <c r="B25" s="12" t="s">
        <v>20</v>
      </c>
      <c r="C25" s="15"/>
      <c r="D25" s="22"/>
      <c r="E25" s="22"/>
      <c r="F25" s="22"/>
      <c r="G25" s="22"/>
      <c r="H25" s="28">
        <f t="shared" si="1"/>
        <v>0</v>
      </c>
      <c r="I25" s="33">
        <f t="shared" si="2"/>
        <v>32</v>
      </c>
      <c r="J25" s="28">
        <f t="shared" si="3"/>
        <v>0</v>
      </c>
      <c r="K25" s="33">
        <f>VLOOKUP(B25,'Ceník dřeva'!$A$2:$D$18,IF(I25 &lt; 50,2,4),0)</f>
        <v>0</v>
      </c>
      <c r="L25" s="33">
        <f t="shared" si="4"/>
        <v>0</v>
      </c>
      <c r="M25" s="33"/>
      <c r="N25" s="12"/>
      <c r="O25" s="12"/>
      <c r="P25" s="12"/>
      <c r="Q25" s="12"/>
      <c r="R25" s="12"/>
      <c r="S25" s="12"/>
      <c r="T25" s="12"/>
      <c r="U25" s="12"/>
      <c r="V25" s="12"/>
      <c r="W25" s="12"/>
      <c r="X25" s="12"/>
      <c r="Y25" s="12"/>
      <c r="Z25" s="12"/>
      <c r="AA25" s="12"/>
      <c r="AB25" s="12"/>
      <c r="AC25" s="38"/>
    </row>
    <row r="26" ht="12.75" customHeight="1">
      <c r="A26" s="14"/>
      <c r="B26" s="12" t="s">
        <v>20</v>
      </c>
      <c r="C26" s="15"/>
      <c r="D26" s="22"/>
      <c r="E26" s="22"/>
      <c r="F26" s="22"/>
      <c r="G26" s="22"/>
      <c r="H26" s="28">
        <f t="shared" si="1"/>
        <v>0</v>
      </c>
      <c r="I26" s="33">
        <f t="shared" si="2"/>
        <v>32</v>
      </c>
      <c r="J26" s="28">
        <f t="shared" si="3"/>
        <v>0</v>
      </c>
      <c r="K26" s="33">
        <f>VLOOKUP(B26,'Ceník dřeva'!$A$2:$D$18,IF(I26 &lt; 50,2,4),0)</f>
        <v>0</v>
      </c>
      <c r="L26" s="33">
        <f t="shared" si="4"/>
        <v>0</v>
      </c>
      <c r="M26" s="33"/>
      <c r="N26" s="12"/>
      <c r="O26" s="12"/>
      <c r="P26" s="12"/>
      <c r="Q26" s="12"/>
      <c r="R26" s="12"/>
      <c r="S26" s="12"/>
      <c r="T26" s="12"/>
      <c r="U26" s="12"/>
      <c r="V26" s="12"/>
      <c r="W26" s="12"/>
      <c r="X26" s="12"/>
      <c r="Y26" s="12"/>
      <c r="Z26" s="12"/>
      <c r="AA26" s="12"/>
      <c r="AB26" s="12"/>
      <c r="AC26" s="38"/>
    </row>
    <row r="27" ht="12.75" customHeight="1">
      <c r="A27" s="14"/>
      <c r="B27" s="12" t="s">
        <v>20</v>
      </c>
      <c r="C27" s="15"/>
      <c r="D27" s="22"/>
      <c r="E27" s="22"/>
      <c r="F27" s="22"/>
      <c r="G27" s="22"/>
      <c r="H27" s="28">
        <f t="shared" si="1"/>
        <v>0</v>
      </c>
      <c r="I27" s="33">
        <f t="shared" si="2"/>
        <v>32</v>
      </c>
      <c r="J27" s="28">
        <f t="shared" si="3"/>
        <v>0</v>
      </c>
      <c r="K27" s="33">
        <f>VLOOKUP(B27,'Ceník dřeva'!$A$2:$D$18,IF(I27 &lt; 50,2,4),0)</f>
        <v>0</v>
      </c>
      <c r="L27" s="33">
        <f t="shared" si="4"/>
        <v>0</v>
      </c>
      <c r="M27" s="33"/>
      <c r="N27" s="12"/>
      <c r="O27" s="12"/>
      <c r="P27" s="12"/>
      <c r="Q27" s="12"/>
      <c r="R27" s="12"/>
      <c r="S27" s="12"/>
      <c r="T27" s="12"/>
      <c r="U27" s="12"/>
      <c r="V27" s="12"/>
      <c r="W27" s="12"/>
      <c r="X27" s="12"/>
      <c r="Y27" s="12"/>
      <c r="Z27" s="12"/>
      <c r="AA27" s="12"/>
      <c r="AB27" s="12"/>
      <c r="AC27" s="38"/>
    </row>
    <row r="28" ht="12.75" customHeight="1">
      <c r="A28" s="14"/>
      <c r="B28" s="12" t="s">
        <v>20</v>
      </c>
      <c r="C28" s="15"/>
      <c r="D28" s="22"/>
      <c r="E28" s="22"/>
      <c r="F28" s="22"/>
      <c r="G28" s="22"/>
      <c r="H28" s="28">
        <f t="shared" si="1"/>
        <v>0</v>
      </c>
      <c r="I28" s="33">
        <f t="shared" si="2"/>
        <v>32</v>
      </c>
      <c r="J28" s="28">
        <f t="shared" si="3"/>
        <v>0</v>
      </c>
      <c r="K28" s="33">
        <f>VLOOKUP(B28,'Ceník dřeva'!$A$2:$D$18,IF(I28 &lt; 50,2,4),0)</f>
        <v>0</v>
      </c>
      <c r="L28" s="33">
        <f t="shared" si="4"/>
        <v>0</v>
      </c>
      <c r="M28" s="33"/>
      <c r="N28" s="12"/>
      <c r="O28" s="12"/>
      <c r="P28" s="12"/>
      <c r="Q28" s="12"/>
      <c r="R28" s="12"/>
      <c r="S28" s="12"/>
      <c r="T28" s="12"/>
      <c r="U28" s="12"/>
      <c r="V28" s="12"/>
      <c r="W28" s="12"/>
      <c r="X28" s="12"/>
      <c r="Y28" s="12"/>
      <c r="Z28" s="12"/>
      <c r="AA28" s="12"/>
      <c r="AB28" s="12"/>
      <c r="AC28" s="38"/>
    </row>
    <row r="29" ht="12.75" customHeight="1">
      <c r="A29" s="14"/>
      <c r="B29" s="12" t="s">
        <v>20</v>
      </c>
      <c r="C29" s="15"/>
      <c r="D29" s="22"/>
      <c r="E29" s="22"/>
      <c r="F29" s="22"/>
      <c r="G29" s="22"/>
      <c r="H29" s="28">
        <f t="shared" si="1"/>
        <v>0</v>
      </c>
      <c r="I29" s="33">
        <f t="shared" si="2"/>
        <v>32</v>
      </c>
      <c r="J29" s="28">
        <f t="shared" si="3"/>
        <v>0</v>
      </c>
      <c r="K29" s="33">
        <f>VLOOKUP(B29,'Ceník dřeva'!$A$2:$D$18,IF(I29 &lt; 50,2,4),0)</f>
        <v>0</v>
      </c>
      <c r="L29" s="33">
        <f t="shared" si="4"/>
        <v>0</v>
      </c>
      <c r="M29" s="33"/>
      <c r="N29" s="12"/>
      <c r="O29" s="12"/>
      <c r="P29" s="12"/>
      <c r="Q29" s="12"/>
      <c r="R29" s="12"/>
      <c r="S29" s="12"/>
      <c r="T29" s="12"/>
      <c r="U29" s="12"/>
      <c r="V29" s="12"/>
      <c r="W29" s="12"/>
      <c r="X29" s="12"/>
      <c r="Y29" s="12"/>
      <c r="Z29" s="12"/>
      <c r="AA29" s="12"/>
      <c r="AB29" s="12"/>
      <c r="AC29" s="38"/>
    </row>
    <row r="30" ht="12.75" customHeight="1">
      <c r="A30" s="14"/>
      <c r="B30" s="12" t="s">
        <v>20</v>
      </c>
      <c r="C30" s="15"/>
      <c r="D30" s="22"/>
      <c r="E30" s="22"/>
      <c r="F30" s="22"/>
      <c r="G30" s="22"/>
      <c r="H30" s="28">
        <f t="shared" si="1"/>
        <v>0</v>
      </c>
      <c r="I30" s="33">
        <f t="shared" si="2"/>
        <v>32</v>
      </c>
      <c r="J30" s="28">
        <f t="shared" si="3"/>
        <v>0</v>
      </c>
      <c r="K30" s="33">
        <f>VLOOKUP(B30,'Ceník dřeva'!$A$2:$D$18,IF(I30 &lt; 50,2,4),0)</f>
        <v>0</v>
      </c>
      <c r="L30" s="33">
        <f t="shared" si="4"/>
        <v>0</v>
      </c>
      <c r="M30" s="33"/>
      <c r="N30" s="12"/>
      <c r="O30" s="12"/>
      <c r="P30" s="12"/>
      <c r="Q30" s="12"/>
      <c r="R30" s="12"/>
      <c r="S30" s="12"/>
      <c r="T30" s="12"/>
      <c r="U30" s="12"/>
      <c r="V30" s="12"/>
      <c r="W30" s="12"/>
      <c r="X30" s="12"/>
      <c r="Y30" s="12"/>
      <c r="Z30" s="12"/>
      <c r="AA30" s="12"/>
      <c r="AB30" s="12"/>
      <c r="AC30" s="38"/>
    </row>
    <row r="31" ht="12.75" customHeight="1">
      <c r="A31" s="14"/>
      <c r="B31" s="12" t="s">
        <v>20</v>
      </c>
      <c r="C31" s="15"/>
      <c r="D31" s="22"/>
      <c r="E31" s="22"/>
      <c r="F31" s="22"/>
      <c r="G31" s="22"/>
      <c r="H31" s="28">
        <f t="shared" si="1"/>
        <v>0</v>
      </c>
      <c r="I31" s="33">
        <f t="shared" si="2"/>
        <v>32</v>
      </c>
      <c r="J31" s="28">
        <f t="shared" si="3"/>
        <v>0</v>
      </c>
      <c r="K31" s="33">
        <f>VLOOKUP(B31,'Ceník dřeva'!$A$2:$D$18,IF(I31 &lt; 50,2,4),0)</f>
        <v>0</v>
      </c>
      <c r="L31" s="33">
        <f t="shared" si="4"/>
        <v>0</v>
      </c>
      <c r="M31" s="33"/>
      <c r="N31" s="12"/>
      <c r="O31" s="12"/>
      <c r="P31" s="12"/>
      <c r="Q31" s="12"/>
      <c r="R31" s="12"/>
      <c r="S31" s="12"/>
      <c r="T31" s="12"/>
      <c r="U31" s="12"/>
      <c r="V31" s="12"/>
      <c r="W31" s="12"/>
      <c r="X31" s="12"/>
      <c r="Y31" s="12"/>
      <c r="Z31" s="12"/>
      <c r="AA31" s="12"/>
      <c r="AB31" s="12"/>
      <c r="AC31" s="38"/>
    </row>
    <row r="32" ht="12.75" customHeight="1">
      <c r="A32" s="14"/>
      <c r="B32" s="12" t="s">
        <v>20</v>
      </c>
      <c r="C32" s="15"/>
      <c r="D32" s="22"/>
      <c r="E32" s="22"/>
      <c r="F32" s="22"/>
      <c r="G32" s="22"/>
      <c r="H32" s="28">
        <f t="shared" si="1"/>
        <v>0</v>
      </c>
      <c r="I32" s="33">
        <f t="shared" si="2"/>
        <v>32</v>
      </c>
      <c r="J32" s="28">
        <f t="shared" si="3"/>
        <v>0</v>
      </c>
      <c r="K32" s="33">
        <f>VLOOKUP(B32,'Ceník dřeva'!$A$2:$D$18,IF(I32 &lt; 50,2,4),0)</f>
        <v>0</v>
      </c>
      <c r="L32" s="33">
        <f t="shared" si="4"/>
        <v>0</v>
      </c>
      <c r="M32" s="33"/>
      <c r="N32" s="12"/>
      <c r="O32" s="12"/>
      <c r="P32" s="12"/>
      <c r="Q32" s="12"/>
      <c r="R32" s="12"/>
      <c r="S32" s="12"/>
      <c r="T32" s="12"/>
      <c r="U32" s="12"/>
      <c r="V32" s="12"/>
      <c r="W32" s="12"/>
      <c r="X32" s="12"/>
      <c r="Y32" s="12"/>
      <c r="Z32" s="12"/>
      <c r="AA32" s="12"/>
      <c r="AB32" s="12"/>
      <c r="AC32" s="38"/>
    </row>
    <row r="33" ht="12.75" customHeight="1">
      <c r="A33" s="14"/>
      <c r="B33" s="12" t="s">
        <v>20</v>
      </c>
      <c r="C33" s="15"/>
      <c r="D33" s="22"/>
      <c r="E33" s="22"/>
      <c r="F33" s="22"/>
      <c r="G33" s="22"/>
      <c r="H33" s="28">
        <f t="shared" si="1"/>
        <v>0</v>
      </c>
      <c r="I33" s="33">
        <f t="shared" si="2"/>
        <v>32</v>
      </c>
      <c r="J33" s="28">
        <f t="shared" si="3"/>
        <v>0</v>
      </c>
      <c r="K33" s="33">
        <f>VLOOKUP(B33,'Ceník dřeva'!$A$2:$D$18,IF(I33 &lt; 50,2,4),0)</f>
        <v>0</v>
      </c>
      <c r="L33" s="33">
        <f t="shared" si="4"/>
        <v>0</v>
      </c>
      <c r="M33" s="33"/>
      <c r="N33" s="12"/>
      <c r="O33" s="12"/>
      <c r="P33" s="12"/>
      <c r="Q33" s="12"/>
      <c r="R33" s="12"/>
      <c r="S33" s="12"/>
      <c r="T33" s="12"/>
      <c r="U33" s="12"/>
      <c r="V33" s="12"/>
      <c r="W33" s="12"/>
      <c r="X33" s="12"/>
      <c r="Y33" s="12"/>
      <c r="Z33" s="12"/>
      <c r="AA33" s="12"/>
      <c r="AB33" s="12"/>
      <c r="AC33" s="38"/>
    </row>
    <row r="34" ht="12.75" customHeight="1">
      <c r="A34" s="14"/>
      <c r="B34" s="12" t="s">
        <v>20</v>
      </c>
      <c r="C34" s="15"/>
      <c r="D34" s="22"/>
      <c r="E34" s="22"/>
      <c r="F34" s="22"/>
      <c r="G34" s="22"/>
      <c r="H34" s="28">
        <f t="shared" si="1"/>
        <v>0</v>
      </c>
      <c r="I34" s="33">
        <f t="shared" si="2"/>
        <v>32</v>
      </c>
      <c r="J34" s="28">
        <f t="shared" si="3"/>
        <v>0</v>
      </c>
      <c r="K34" s="33">
        <f>VLOOKUP(B34,'Ceník dřeva'!$A$2:$D$18,IF(I34 &lt; 50,2,4),0)</f>
        <v>0</v>
      </c>
      <c r="L34" s="33">
        <f t="shared" si="4"/>
        <v>0</v>
      </c>
      <c r="M34" s="33"/>
      <c r="N34" s="12"/>
      <c r="O34" s="12"/>
      <c r="P34" s="12"/>
      <c r="Q34" s="12"/>
      <c r="R34" s="12"/>
      <c r="S34" s="12"/>
      <c r="T34" s="12"/>
      <c r="U34" s="12"/>
      <c r="V34" s="12"/>
      <c r="W34" s="12"/>
      <c r="X34" s="12"/>
      <c r="Y34" s="12"/>
      <c r="Z34" s="12"/>
      <c r="AA34" s="12"/>
      <c r="AB34" s="12"/>
      <c r="AC34" s="38"/>
    </row>
    <row r="35" ht="12.75" customHeight="1">
      <c r="A35" s="14"/>
      <c r="B35" s="12" t="s">
        <v>20</v>
      </c>
      <c r="C35" s="15"/>
      <c r="D35" s="22"/>
      <c r="E35" s="22"/>
      <c r="F35" s="22"/>
      <c r="G35" s="22"/>
      <c r="H35" s="28">
        <f t="shared" si="1"/>
        <v>0</v>
      </c>
      <c r="I35" s="33">
        <f t="shared" si="2"/>
        <v>32</v>
      </c>
      <c r="J35" s="28">
        <f t="shared" si="3"/>
        <v>0</v>
      </c>
      <c r="K35" s="33">
        <f>VLOOKUP(B35,'Ceník dřeva'!$A$2:$D$18,IF(I35 &lt; 50,2,4),0)</f>
        <v>0</v>
      </c>
      <c r="L35" s="33">
        <f t="shared" si="4"/>
        <v>0</v>
      </c>
      <c r="M35" s="33"/>
      <c r="N35" s="12"/>
      <c r="O35" s="12"/>
      <c r="P35" s="12"/>
      <c r="Q35" s="12"/>
      <c r="R35" s="12"/>
      <c r="S35" s="12"/>
      <c r="T35" s="12"/>
      <c r="U35" s="12"/>
      <c r="V35" s="12"/>
      <c r="W35" s="12"/>
      <c r="X35" s="12"/>
      <c r="Y35" s="12"/>
      <c r="Z35" s="12"/>
      <c r="AA35" s="12"/>
      <c r="AB35" s="12"/>
      <c r="AC35" s="38"/>
    </row>
    <row r="36" ht="12.75" customHeight="1">
      <c r="A36" s="14"/>
      <c r="B36" s="12" t="s">
        <v>20</v>
      </c>
      <c r="C36" s="15"/>
      <c r="D36" s="22"/>
      <c r="E36" s="22"/>
      <c r="F36" s="22"/>
      <c r="G36" s="22"/>
      <c r="H36" s="28">
        <f t="shared" si="1"/>
        <v>0</v>
      </c>
      <c r="I36" s="33">
        <f t="shared" si="2"/>
        <v>32</v>
      </c>
      <c r="J36" s="28">
        <f t="shared" si="3"/>
        <v>0</v>
      </c>
      <c r="K36" s="33">
        <f>VLOOKUP(B36,'Ceník dřeva'!$A$2:$D$18,IF(I36 &lt; 50,2,4),0)</f>
        <v>0</v>
      </c>
      <c r="L36" s="33">
        <f t="shared" si="4"/>
        <v>0</v>
      </c>
      <c r="M36" s="33"/>
      <c r="N36" s="12"/>
      <c r="O36" s="12"/>
      <c r="P36" s="12"/>
      <c r="Q36" s="12"/>
      <c r="R36" s="12"/>
      <c r="S36" s="12"/>
      <c r="T36" s="12"/>
      <c r="U36" s="12"/>
      <c r="V36" s="12"/>
      <c r="W36" s="12"/>
      <c r="X36" s="12"/>
      <c r="Y36" s="12"/>
      <c r="Z36" s="12"/>
      <c r="AA36" s="12"/>
      <c r="AB36" s="12"/>
      <c r="AC36" s="38"/>
    </row>
    <row r="37" ht="12.75" customHeight="1">
      <c r="A37" s="14"/>
      <c r="B37" s="12" t="s">
        <v>20</v>
      </c>
      <c r="C37" s="15"/>
      <c r="D37" s="22"/>
      <c r="E37" s="22"/>
      <c r="F37" s="22"/>
      <c r="G37" s="22"/>
      <c r="H37" s="28">
        <f t="shared" si="1"/>
        <v>0</v>
      </c>
      <c r="I37" s="33">
        <f t="shared" si="2"/>
        <v>32</v>
      </c>
      <c r="J37" s="28">
        <f t="shared" si="3"/>
        <v>0</v>
      </c>
      <c r="K37" s="33">
        <f>VLOOKUP(B37,'Ceník dřeva'!$A$2:$D$18,IF(I37 &lt; 50,2,4),0)</f>
        <v>0</v>
      </c>
      <c r="L37" s="33">
        <f t="shared" si="4"/>
        <v>0</v>
      </c>
      <c r="M37" s="33"/>
      <c r="N37" s="12"/>
      <c r="O37" s="12"/>
      <c r="P37" s="12"/>
      <c r="Q37" s="12"/>
      <c r="R37" s="12"/>
      <c r="S37" s="12"/>
      <c r="T37" s="12"/>
      <c r="U37" s="12"/>
      <c r="V37" s="12"/>
      <c r="W37" s="12"/>
      <c r="X37" s="12"/>
      <c r="Y37" s="12"/>
      <c r="Z37" s="12"/>
      <c r="AA37" s="12"/>
      <c r="AB37" s="12"/>
      <c r="AC37" s="38"/>
    </row>
    <row r="38" ht="12.75" customHeight="1">
      <c r="A38" s="14"/>
      <c r="B38" s="12" t="s">
        <v>20</v>
      </c>
      <c r="C38" s="15"/>
      <c r="D38" s="22"/>
      <c r="E38" s="22"/>
      <c r="F38" s="22"/>
      <c r="G38" s="22"/>
      <c r="H38" s="28">
        <f t="shared" si="1"/>
        <v>0</v>
      </c>
      <c r="I38" s="33">
        <f t="shared" si="2"/>
        <v>32</v>
      </c>
      <c r="J38" s="28">
        <f t="shared" si="3"/>
        <v>0</v>
      </c>
      <c r="K38" s="33">
        <f>VLOOKUP(B38,'Ceník dřeva'!$A$2:$D$18,IF(I38 &lt; 50,2,4),0)</f>
        <v>0</v>
      </c>
      <c r="L38" s="33">
        <f t="shared" si="4"/>
        <v>0</v>
      </c>
      <c r="M38" s="33"/>
      <c r="N38" s="12"/>
      <c r="O38" s="12"/>
      <c r="P38" s="12"/>
      <c r="Q38" s="12"/>
      <c r="R38" s="12"/>
      <c r="S38" s="12"/>
      <c r="T38" s="12"/>
      <c r="U38" s="12"/>
      <c r="V38" s="12"/>
      <c r="W38" s="12"/>
      <c r="X38" s="12"/>
      <c r="Y38" s="12"/>
      <c r="Z38" s="12"/>
      <c r="AA38" s="12"/>
      <c r="AB38" s="12"/>
      <c r="AC38" s="38"/>
    </row>
    <row r="39" ht="12.75" customHeight="1">
      <c r="A39" s="14"/>
      <c r="B39" s="12" t="s">
        <v>20</v>
      </c>
      <c r="C39" s="15"/>
      <c r="D39" s="22"/>
      <c r="E39" s="22"/>
      <c r="F39" s="22"/>
      <c r="G39" s="22"/>
      <c r="H39" s="28">
        <f t="shared" si="1"/>
        <v>0</v>
      </c>
      <c r="I39" s="33">
        <f t="shared" si="2"/>
        <v>32</v>
      </c>
      <c r="J39" s="28">
        <f t="shared" si="3"/>
        <v>0</v>
      </c>
      <c r="K39" s="33">
        <f>VLOOKUP(B39,'Ceník dřeva'!$A$2:$D$18,IF(I39 &lt; 50,2,4),0)</f>
        <v>0</v>
      </c>
      <c r="L39" s="33">
        <f t="shared" si="4"/>
        <v>0</v>
      </c>
      <c r="M39" s="33"/>
      <c r="N39" s="12"/>
      <c r="O39" s="12"/>
      <c r="P39" s="12"/>
      <c r="Q39" s="12"/>
      <c r="R39" s="12"/>
      <c r="S39" s="12"/>
      <c r="T39" s="12"/>
      <c r="U39" s="12"/>
      <c r="V39" s="12"/>
      <c r="W39" s="12"/>
      <c r="X39" s="12"/>
      <c r="Y39" s="12"/>
      <c r="Z39" s="12"/>
      <c r="AA39" s="12"/>
      <c r="AB39" s="12"/>
      <c r="AC39" s="38"/>
    </row>
    <row r="40" ht="12.75" customHeight="1">
      <c r="A40" s="14"/>
      <c r="B40" s="12" t="s">
        <v>20</v>
      </c>
      <c r="C40" s="15"/>
      <c r="D40" s="22"/>
      <c r="E40" s="22"/>
      <c r="F40" s="22"/>
      <c r="G40" s="22"/>
      <c r="H40" s="28">
        <f t="shared" si="1"/>
        <v>0</v>
      </c>
      <c r="I40" s="33">
        <f t="shared" si="2"/>
        <v>32</v>
      </c>
      <c r="J40" s="28">
        <f t="shared" si="3"/>
        <v>0</v>
      </c>
      <c r="K40" s="33">
        <f>VLOOKUP(B40,'Ceník dřeva'!$A$2:$D$18,IF(I40 &lt; 50,2,4),0)</f>
        <v>0</v>
      </c>
      <c r="L40" s="33">
        <f t="shared" si="4"/>
        <v>0</v>
      </c>
      <c r="M40" s="33"/>
      <c r="N40" s="12"/>
      <c r="O40" s="12"/>
      <c r="P40" s="12"/>
      <c r="Q40" s="12"/>
      <c r="R40" s="12"/>
      <c r="S40" s="12"/>
      <c r="T40" s="12"/>
      <c r="U40" s="12"/>
      <c r="V40" s="12"/>
      <c r="W40" s="12"/>
      <c r="X40" s="12"/>
      <c r="Y40" s="12"/>
      <c r="Z40" s="12"/>
      <c r="AA40" s="12"/>
      <c r="AB40" s="12"/>
      <c r="AC40" s="38"/>
    </row>
    <row r="41" ht="12.75" customHeight="1">
      <c r="A41" s="14"/>
      <c r="B41" s="12" t="s">
        <v>20</v>
      </c>
      <c r="C41" s="15"/>
      <c r="D41" s="22"/>
      <c r="E41" s="22"/>
      <c r="F41" s="22"/>
      <c r="G41" s="22"/>
      <c r="H41" s="28">
        <f t="shared" si="1"/>
        <v>0</v>
      </c>
      <c r="I41" s="33">
        <f t="shared" si="2"/>
        <v>32</v>
      </c>
      <c r="J41" s="28">
        <f t="shared" si="3"/>
        <v>0</v>
      </c>
      <c r="K41" s="33">
        <f>VLOOKUP(B41,'Ceník dřeva'!$A$2:$D$18,IF(I41 &lt; 50,2,4),0)</f>
        <v>0</v>
      </c>
      <c r="L41" s="33">
        <f t="shared" si="4"/>
        <v>0</v>
      </c>
      <c r="M41" s="33"/>
      <c r="N41" s="12"/>
      <c r="O41" s="12"/>
      <c r="P41" s="12"/>
      <c r="Q41" s="12"/>
      <c r="R41" s="12"/>
      <c r="S41" s="12"/>
      <c r="T41" s="12"/>
      <c r="U41" s="12"/>
      <c r="V41" s="12"/>
      <c r="W41" s="12"/>
      <c r="X41" s="12"/>
      <c r="Y41" s="12"/>
      <c r="Z41" s="12"/>
      <c r="AA41" s="12"/>
      <c r="AB41" s="12"/>
      <c r="AC41" s="38"/>
    </row>
    <row r="42" ht="12.75" customHeight="1">
      <c r="A42" s="14"/>
      <c r="B42" s="12" t="s">
        <v>20</v>
      </c>
      <c r="C42" s="15"/>
      <c r="D42" s="22"/>
      <c r="E42" s="22"/>
      <c r="F42" s="22"/>
      <c r="G42" s="22"/>
      <c r="H42" s="28">
        <f t="shared" si="1"/>
        <v>0</v>
      </c>
      <c r="I42" s="33">
        <f t="shared" si="2"/>
        <v>32</v>
      </c>
      <c r="J42" s="28">
        <f t="shared" si="3"/>
        <v>0</v>
      </c>
      <c r="K42" s="33">
        <f>VLOOKUP(B42,'Ceník dřeva'!$A$2:$D$18,IF(I42 &lt; 50,2,4),0)</f>
        <v>0</v>
      </c>
      <c r="L42" s="33">
        <f t="shared" si="4"/>
        <v>0</v>
      </c>
      <c r="M42" s="33"/>
      <c r="N42" s="12"/>
      <c r="O42" s="12"/>
      <c r="P42" s="12"/>
      <c r="Q42" s="12"/>
      <c r="R42" s="12"/>
      <c r="S42" s="12"/>
      <c r="T42" s="12"/>
      <c r="U42" s="12"/>
      <c r="V42" s="12"/>
      <c r="W42" s="12"/>
      <c r="X42" s="12"/>
      <c r="Y42" s="12"/>
      <c r="Z42" s="12"/>
      <c r="AA42" s="12"/>
      <c r="AB42" s="12"/>
      <c r="AC42" s="38"/>
    </row>
    <row r="43" ht="12.75" customHeight="1">
      <c r="A43" s="14"/>
      <c r="B43" s="12" t="s">
        <v>20</v>
      </c>
      <c r="C43" s="15"/>
      <c r="D43" s="22"/>
      <c r="E43" s="22"/>
      <c r="F43" s="22"/>
      <c r="G43" s="22"/>
      <c r="H43" s="28">
        <f t="shared" si="1"/>
        <v>0</v>
      </c>
      <c r="I43" s="33">
        <f t="shared" si="2"/>
        <v>32</v>
      </c>
      <c r="J43" s="28">
        <f t="shared" si="3"/>
        <v>0</v>
      </c>
      <c r="K43" s="33">
        <f>VLOOKUP(B43,'Ceník dřeva'!$A$2:$D$18,IF(I43 &lt; 50,2,4),0)</f>
        <v>0</v>
      </c>
      <c r="L43" s="33">
        <f t="shared" si="4"/>
        <v>0</v>
      </c>
      <c r="M43" s="33"/>
      <c r="N43" s="12"/>
      <c r="O43" s="12"/>
      <c r="P43" s="12"/>
      <c r="Q43" s="12"/>
      <c r="R43" s="12"/>
      <c r="S43" s="12"/>
      <c r="T43" s="12"/>
      <c r="U43" s="12"/>
      <c r="V43" s="12"/>
      <c r="W43" s="12"/>
      <c r="X43" s="12"/>
      <c r="Y43" s="12"/>
      <c r="Z43" s="12"/>
      <c r="AA43" s="12"/>
      <c r="AB43" s="12"/>
      <c r="AC43" s="38"/>
    </row>
    <row r="44" ht="12.75" customHeight="1">
      <c r="A44" s="14"/>
      <c r="B44" s="12" t="s">
        <v>20</v>
      </c>
      <c r="C44" s="15"/>
      <c r="D44" s="22"/>
      <c r="E44" s="22"/>
      <c r="F44" s="22"/>
      <c r="G44" s="22"/>
      <c r="H44" s="28">
        <f t="shared" si="1"/>
        <v>0</v>
      </c>
      <c r="I44" s="33">
        <f t="shared" si="2"/>
        <v>32</v>
      </c>
      <c r="J44" s="28">
        <f t="shared" si="3"/>
        <v>0</v>
      </c>
      <c r="K44" s="33">
        <f>VLOOKUP(B44,'Ceník dřeva'!$A$2:$D$18,IF(I44 &lt; 50,2,4),0)</f>
        <v>0</v>
      </c>
      <c r="L44" s="33">
        <f t="shared" si="4"/>
        <v>0</v>
      </c>
      <c r="M44" s="33"/>
      <c r="N44" s="12"/>
      <c r="O44" s="12"/>
      <c r="P44" s="12"/>
      <c r="Q44" s="12"/>
      <c r="R44" s="12"/>
      <c r="S44" s="12"/>
      <c r="T44" s="12"/>
      <c r="U44" s="12"/>
      <c r="V44" s="12"/>
      <c r="W44" s="12"/>
      <c r="X44" s="12"/>
      <c r="Y44" s="12"/>
      <c r="Z44" s="12"/>
      <c r="AA44" s="12"/>
      <c r="AB44" s="12"/>
      <c r="AC44" s="38"/>
    </row>
    <row r="45" ht="12.75" customHeight="1">
      <c r="A45" s="14"/>
      <c r="B45" s="12" t="s">
        <v>20</v>
      </c>
      <c r="C45" s="15"/>
      <c r="D45" s="22"/>
      <c r="E45" s="22"/>
      <c r="F45" s="22"/>
      <c r="G45" s="22"/>
      <c r="H45" s="28">
        <f t="shared" si="1"/>
        <v>0</v>
      </c>
      <c r="I45" s="33">
        <f t="shared" si="2"/>
        <v>32</v>
      </c>
      <c r="J45" s="28">
        <f t="shared" si="3"/>
        <v>0</v>
      </c>
      <c r="K45" s="33">
        <f>VLOOKUP(B45,'Ceník dřeva'!$A$2:$D$18,IF(I45 &lt; 50,2,4),0)</f>
        <v>0</v>
      </c>
      <c r="L45" s="33">
        <f t="shared" si="4"/>
        <v>0</v>
      </c>
      <c r="M45" s="33"/>
      <c r="N45" s="12"/>
      <c r="O45" s="12"/>
      <c r="P45" s="12"/>
      <c r="Q45" s="12"/>
      <c r="T45" s="12"/>
      <c r="U45" s="12"/>
      <c r="V45" s="12"/>
      <c r="W45" s="12"/>
      <c r="X45" s="12"/>
      <c r="Y45" s="12"/>
      <c r="Z45" s="12"/>
      <c r="AA45" s="12"/>
      <c r="AB45" s="12"/>
      <c r="AC45" s="38"/>
    </row>
    <row r="46" ht="12.75" customHeight="1">
      <c r="A46" s="14"/>
      <c r="B46" s="12" t="s">
        <v>20</v>
      </c>
      <c r="C46" s="15"/>
      <c r="D46" s="22"/>
      <c r="E46" s="22"/>
      <c r="F46" s="22"/>
      <c r="G46" s="22"/>
      <c r="H46" s="28">
        <f t="shared" si="1"/>
        <v>0</v>
      </c>
      <c r="I46" s="33">
        <f t="shared" si="2"/>
        <v>32</v>
      </c>
      <c r="J46" s="28">
        <f t="shared" si="3"/>
        <v>0</v>
      </c>
      <c r="K46" s="33">
        <f>VLOOKUP(B46,'Ceník dřeva'!$A$2:$D$18,IF(I46 &lt; 50,2,4),0)</f>
        <v>0</v>
      </c>
      <c r="L46" s="33">
        <f t="shared" si="4"/>
        <v>0</v>
      </c>
      <c r="M46" s="33"/>
      <c r="N46" s="12"/>
      <c r="O46" s="12"/>
      <c r="P46" s="12"/>
      <c r="Q46" s="12"/>
      <c r="R46" s="12"/>
      <c r="S46" s="12"/>
      <c r="T46" s="12"/>
      <c r="U46" s="12"/>
      <c r="V46" s="12"/>
      <c r="W46" s="12"/>
      <c r="X46" s="12"/>
      <c r="Y46" s="12"/>
      <c r="Z46" s="12"/>
      <c r="AA46" s="12"/>
      <c r="AB46" s="12"/>
      <c r="AC46" s="38"/>
    </row>
    <row r="47" ht="12.75" customHeight="1">
      <c r="A47" s="14"/>
      <c r="B47" s="12" t="s">
        <v>20</v>
      </c>
      <c r="C47" s="15"/>
      <c r="D47" s="22"/>
      <c r="E47" s="22"/>
      <c r="F47" s="22"/>
      <c r="G47" s="22"/>
      <c r="H47" s="28">
        <f t="shared" si="1"/>
        <v>0</v>
      </c>
      <c r="I47" s="33">
        <f t="shared" si="2"/>
        <v>32</v>
      </c>
      <c r="J47" s="28">
        <f t="shared" si="3"/>
        <v>0</v>
      </c>
      <c r="K47" s="33">
        <f>VLOOKUP(B47,'Ceník dřeva'!$A$2:$D$18,IF(I47 &lt; 50,2,4),0)</f>
        <v>0</v>
      </c>
      <c r="L47" s="33">
        <f t="shared" si="4"/>
        <v>0</v>
      </c>
      <c r="M47" s="33"/>
      <c r="N47" s="12"/>
      <c r="O47" s="12"/>
      <c r="P47" s="12"/>
      <c r="Q47" s="12"/>
      <c r="R47" s="12"/>
      <c r="S47" s="12"/>
      <c r="T47" s="12"/>
      <c r="U47" s="12"/>
      <c r="V47" s="12"/>
      <c r="W47" s="12"/>
      <c r="X47" s="12"/>
      <c r="Y47" s="12"/>
      <c r="Z47" s="12"/>
      <c r="AA47" s="12"/>
      <c r="AB47" s="12"/>
      <c r="AC47" s="38"/>
    </row>
    <row r="48" ht="12.75" customHeight="1">
      <c r="A48" s="14"/>
      <c r="B48" s="12" t="s">
        <v>20</v>
      </c>
      <c r="C48" s="15"/>
      <c r="D48" s="22"/>
      <c r="E48" s="22"/>
      <c r="F48" s="22"/>
      <c r="G48" s="22"/>
      <c r="H48" s="28">
        <f t="shared" si="1"/>
        <v>0</v>
      </c>
      <c r="I48" s="33">
        <f t="shared" si="2"/>
        <v>32</v>
      </c>
      <c r="J48" s="28">
        <f t="shared" si="3"/>
        <v>0</v>
      </c>
      <c r="K48" s="33">
        <f>VLOOKUP(B48,'Ceník dřeva'!$A$2:$D$18,IF(I48 &lt; 50,2,4),0)</f>
        <v>0</v>
      </c>
      <c r="L48" s="33">
        <f t="shared" si="4"/>
        <v>0</v>
      </c>
      <c r="M48" s="33"/>
      <c r="N48" s="12"/>
      <c r="O48" s="12"/>
      <c r="P48" s="12"/>
      <c r="Q48" s="12"/>
      <c r="R48" s="12"/>
      <c r="S48" s="12"/>
      <c r="T48" s="12"/>
      <c r="U48" s="12"/>
      <c r="V48" s="12"/>
      <c r="W48" s="12"/>
      <c r="X48" s="12"/>
      <c r="Y48" s="12"/>
      <c r="Z48" s="12"/>
      <c r="AA48" s="12"/>
      <c r="AB48" s="12"/>
      <c r="AC48" s="38"/>
    </row>
    <row r="49" ht="12.75" customHeight="1">
      <c r="A49" s="14"/>
      <c r="B49" s="12" t="s">
        <v>20</v>
      </c>
      <c r="C49" s="15"/>
      <c r="D49" s="22"/>
      <c r="E49" s="22"/>
      <c r="F49" s="22"/>
      <c r="G49" s="22"/>
      <c r="H49" s="28">
        <f t="shared" si="1"/>
        <v>0</v>
      </c>
      <c r="I49" s="33">
        <f t="shared" si="2"/>
        <v>32</v>
      </c>
      <c r="J49" s="28">
        <f t="shared" si="3"/>
        <v>0</v>
      </c>
      <c r="K49" s="33">
        <f>VLOOKUP(B49,'Ceník dřeva'!$A$2:$D$18,IF(I49 &lt; 50,2,4),0)</f>
        <v>0</v>
      </c>
      <c r="L49" s="33">
        <f t="shared" si="4"/>
        <v>0</v>
      </c>
      <c r="M49" s="33"/>
      <c r="N49" s="12"/>
      <c r="O49" s="12"/>
      <c r="P49" s="12"/>
      <c r="Q49" s="12"/>
      <c r="R49" s="12"/>
      <c r="S49" s="12"/>
      <c r="T49" s="12"/>
      <c r="U49" s="12"/>
      <c r="V49" s="12"/>
      <c r="W49" s="12"/>
      <c r="X49" s="12"/>
      <c r="Y49" s="12"/>
      <c r="Z49" s="12"/>
      <c r="AA49" s="12"/>
      <c r="AB49" s="12"/>
      <c r="AC49" s="38"/>
    </row>
    <row r="50" ht="12.75" customHeight="1">
      <c r="A50" s="14"/>
      <c r="B50" s="12" t="s">
        <v>20</v>
      </c>
      <c r="C50" s="15"/>
      <c r="D50" s="22"/>
      <c r="E50" s="22"/>
      <c r="F50" s="22"/>
      <c r="G50" s="22"/>
      <c r="H50" s="28">
        <f t="shared" si="1"/>
        <v>0</v>
      </c>
      <c r="I50" s="33">
        <f t="shared" si="2"/>
        <v>32</v>
      </c>
      <c r="J50" s="28">
        <f t="shared" si="3"/>
        <v>0</v>
      </c>
      <c r="K50" s="33">
        <f>VLOOKUP(B50,'Ceník dřeva'!$A$2:$D$18,IF(I50 &lt; 50,2,4),0)</f>
        <v>0</v>
      </c>
      <c r="L50" s="33">
        <f t="shared" si="4"/>
        <v>0</v>
      </c>
      <c r="M50" s="33"/>
      <c r="N50" s="12"/>
      <c r="O50" s="12"/>
      <c r="P50" s="12"/>
      <c r="Q50" s="12"/>
      <c r="R50" s="12"/>
      <c r="S50" s="12"/>
      <c r="T50" s="12"/>
      <c r="U50" s="12"/>
      <c r="V50" s="12"/>
      <c r="W50" s="12"/>
      <c r="X50" s="12"/>
      <c r="Y50" s="12"/>
      <c r="Z50" s="12"/>
      <c r="AA50" s="12"/>
      <c r="AB50" s="12"/>
      <c r="AC50" s="38"/>
    </row>
    <row r="51" ht="12.75" customHeight="1">
      <c r="B51" s="12"/>
      <c r="C51" s="104"/>
      <c r="D51" s="12"/>
      <c r="E51" s="12"/>
      <c r="F51" s="12"/>
      <c r="G51" s="12"/>
      <c r="H51" s="12"/>
      <c r="I51" s="12"/>
      <c r="J51" s="12"/>
      <c r="K51" s="12"/>
      <c r="L51" s="12"/>
      <c r="M51" s="12"/>
      <c r="N51" s="12"/>
      <c r="O51" s="12"/>
      <c r="P51" s="12"/>
      <c r="Q51" s="12"/>
      <c r="R51" s="12"/>
      <c r="S51" s="12"/>
      <c r="T51" s="12"/>
      <c r="U51" s="12"/>
      <c r="V51" s="12"/>
      <c r="W51" s="12"/>
      <c r="X51" s="12"/>
      <c r="Y51" s="12"/>
      <c r="Z51" s="12"/>
      <c r="AA51" s="12"/>
      <c r="AB51" s="12"/>
      <c r="AC51" s="38"/>
    </row>
    <row r="52" ht="12.75" customHeight="1">
      <c r="B52" s="12"/>
      <c r="C52" s="104"/>
      <c r="D52" s="12"/>
      <c r="E52" s="12"/>
      <c r="F52" s="12"/>
      <c r="G52" s="12"/>
      <c r="H52" s="12"/>
      <c r="I52" s="12"/>
      <c r="J52" s="12"/>
      <c r="K52" s="12"/>
      <c r="L52" s="12"/>
      <c r="M52" s="12"/>
      <c r="N52" s="3" t="s">
        <v>110</v>
      </c>
      <c r="O52" s="105">
        <f>SUBTOTAL(9,J2:J50)</f>
        <v>0</v>
      </c>
      <c r="P52" s="12"/>
      <c r="Q52" s="12"/>
      <c r="R52" s="12"/>
      <c r="S52" s="12"/>
      <c r="T52" s="12"/>
      <c r="U52" s="12"/>
      <c r="V52" s="12"/>
      <c r="W52" s="12"/>
      <c r="X52" s="12"/>
      <c r="Y52" s="12"/>
      <c r="Z52" s="12"/>
      <c r="AA52" s="12"/>
      <c r="AB52" s="12"/>
      <c r="AC52" s="38"/>
    </row>
    <row r="53" ht="12.75" customHeight="1">
      <c r="B53" s="12"/>
      <c r="C53" s="104"/>
      <c r="D53" s="12"/>
      <c r="E53" s="12"/>
      <c r="F53" s="12"/>
      <c r="G53" s="12"/>
      <c r="H53" s="12"/>
      <c r="I53" s="12"/>
      <c r="J53" s="12"/>
      <c r="K53" s="12"/>
      <c r="L53" s="12"/>
      <c r="M53" s="12"/>
      <c r="N53" s="3" t="s">
        <v>111</v>
      </c>
      <c r="O53" s="105">
        <f>O52*1.25</f>
        <v>0</v>
      </c>
      <c r="P53" s="12"/>
      <c r="Q53" s="12"/>
      <c r="R53" s="12"/>
      <c r="S53" s="12"/>
      <c r="T53" s="12"/>
      <c r="U53" s="12"/>
      <c r="V53" s="12"/>
      <c r="W53" s="12"/>
      <c r="X53" s="12"/>
      <c r="Y53" s="12"/>
      <c r="Z53" s="12"/>
      <c r="AA53" s="12"/>
      <c r="AB53" s="12"/>
      <c r="AC53" s="38"/>
    </row>
    <row r="54" ht="12.75" customHeight="1">
      <c r="B54" s="12"/>
      <c r="C54" s="104"/>
      <c r="D54" s="12"/>
      <c r="E54" s="12"/>
      <c r="F54" s="12"/>
      <c r="G54" s="12"/>
      <c r="H54" s="12"/>
      <c r="I54" s="12"/>
      <c r="J54" s="12"/>
      <c r="K54" s="12"/>
      <c r="L54" s="12"/>
      <c r="M54" s="12"/>
      <c r="N54" s="12"/>
      <c r="O54" s="12"/>
      <c r="P54" s="12"/>
      <c r="Q54" s="12"/>
      <c r="R54" s="12"/>
      <c r="S54" s="12"/>
      <c r="T54" s="12"/>
      <c r="U54" s="12"/>
      <c r="V54" s="12"/>
      <c r="W54" s="12"/>
      <c r="X54" s="12"/>
      <c r="Y54" s="12"/>
      <c r="Z54" s="12"/>
      <c r="AA54" s="12"/>
      <c r="AB54" s="12"/>
      <c r="AC54" s="38"/>
    </row>
    <row r="55" ht="12.75" customHeight="1">
      <c r="B55" s="12"/>
      <c r="C55" s="104"/>
      <c r="D55" s="12"/>
      <c r="E55" s="12"/>
      <c r="F55" s="12"/>
      <c r="G55" s="12"/>
      <c r="H55" s="12"/>
      <c r="I55" s="12"/>
      <c r="J55" s="12"/>
      <c r="K55" s="12"/>
      <c r="L55" s="12"/>
      <c r="M55" s="12"/>
      <c r="N55" s="3" t="s">
        <v>112</v>
      </c>
      <c r="O55" s="33">
        <f>SUBTOTAL(9,L2:L50)</f>
        <v>0</v>
      </c>
      <c r="P55" s="12"/>
      <c r="Q55" s="12"/>
      <c r="R55" s="12"/>
      <c r="S55" s="12"/>
      <c r="T55" s="12"/>
      <c r="U55" s="12"/>
      <c r="V55" s="12"/>
      <c r="W55" s="12"/>
      <c r="X55" s="12"/>
      <c r="Y55" s="12"/>
      <c r="Z55" s="12"/>
      <c r="AA55" s="12"/>
      <c r="AB55" s="12"/>
      <c r="AC55" s="38"/>
    </row>
    <row r="56" ht="12.75" customHeight="1">
      <c r="B56" s="12"/>
      <c r="C56" s="104"/>
      <c r="D56" s="12"/>
      <c r="E56" s="12"/>
      <c r="F56" s="12"/>
      <c r="G56" s="12"/>
      <c r="H56" s="12"/>
      <c r="I56" s="12"/>
      <c r="J56" s="12"/>
      <c r="K56" s="12"/>
      <c r="L56" s="12"/>
      <c r="M56" s="12"/>
      <c r="N56" s="3" t="s">
        <v>113</v>
      </c>
      <c r="O56" s="33">
        <f>O55*1.25</f>
        <v>0</v>
      </c>
      <c r="P56" s="12"/>
      <c r="Q56" s="12"/>
      <c r="R56" s="12"/>
      <c r="S56" s="12"/>
      <c r="T56" s="12"/>
      <c r="U56" s="12"/>
      <c r="V56" s="12"/>
      <c r="W56" s="12"/>
      <c r="X56" s="12"/>
      <c r="Y56" s="12"/>
      <c r="Z56" s="12"/>
      <c r="AA56" s="12"/>
      <c r="AB56" s="12"/>
      <c r="AC56" s="38"/>
    </row>
    <row r="57" ht="12.75" customHeight="1">
      <c r="B57" s="12"/>
      <c r="C57" s="104"/>
      <c r="D57" s="12"/>
      <c r="E57" s="12"/>
      <c r="F57" s="12"/>
      <c r="G57" s="12"/>
      <c r="H57" s="12"/>
      <c r="I57" s="12"/>
      <c r="J57" s="12"/>
      <c r="K57" s="12"/>
      <c r="L57" s="12"/>
      <c r="M57" s="12"/>
      <c r="N57" s="3" t="s">
        <v>114</v>
      </c>
      <c r="O57" s="33">
        <f>O56*1.21</f>
        <v>0</v>
      </c>
      <c r="P57" s="12"/>
      <c r="Q57" s="12"/>
      <c r="R57" s="12"/>
      <c r="S57" s="12"/>
      <c r="T57" s="12"/>
      <c r="U57" s="12"/>
      <c r="V57" s="12"/>
      <c r="W57" s="12"/>
      <c r="X57" s="12"/>
      <c r="Y57" s="12"/>
      <c r="Z57" s="12"/>
      <c r="AA57" s="12"/>
      <c r="AB57" s="12"/>
      <c r="AC57" s="38"/>
    </row>
    <row r="58" ht="12.75" customHeight="1">
      <c r="B58" s="12"/>
      <c r="C58" s="104"/>
      <c r="D58" s="12"/>
      <c r="E58" s="12"/>
      <c r="F58" s="12"/>
      <c r="G58" s="12"/>
      <c r="H58" s="12"/>
      <c r="I58" s="12"/>
      <c r="J58" s="12"/>
      <c r="K58" s="12"/>
      <c r="L58" s="12"/>
      <c r="M58" s="12"/>
      <c r="N58" s="12"/>
      <c r="O58" s="12"/>
      <c r="P58" s="12"/>
      <c r="Q58" s="12"/>
      <c r="R58" s="12"/>
      <c r="S58" s="12"/>
      <c r="T58" s="12"/>
      <c r="U58" s="12"/>
      <c r="V58" s="12"/>
      <c r="W58" s="12"/>
      <c r="X58" s="12"/>
      <c r="Y58" s="12"/>
      <c r="Z58" s="12"/>
      <c r="AA58" s="12"/>
      <c r="AB58" s="12"/>
      <c r="AC58" s="38"/>
    </row>
    <row r="59" ht="12.75" customHeight="1">
      <c r="B59" s="12"/>
      <c r="C59" s="104"/>
      <c r="D59" s="12"/>
      <c r="E59" s="12"/>
      <c r="F59" s="12"/>
      <c r="G59" s="12"/>
      <c r="H59" s="12"/>
      <c r="I59" s="12"/>
      <c r="J59" s="12"/>
      <c r="K59" s="12"/>
      <c r="L59" s="12"/>
      <c r="M59" s="12"/>
      <c r="N59" s="12"/>
      <c r="O59" s="12"/>
      <c r="P59" s="12"/>
      <c r="Q59" s="12"/>
      <c r="R59" s="12"/>
      <c r="S59" s="12"/>
      <c r="T59" s="12"/>
      <c r="U59" s="12"/>
      <c r="V59" s="12"/>
      <c r="W59" s="12"/>
      <c r="X59" s="12"/>
      <c r="Y59" s="12"/>
      <c r="Z59" s="12"/>
      <c r="AA59" s="12"/>
      <c r="AB59" s="12"/>
      <c r="AC59" s="38"/>
    </row>
    <row r="60" ht="12.75" customHeight="1">
      <c r="B60" s="12"/>
      <c r="C60" s="104"/>
      <c r="D60" s="12"/>
      <c r="E60" s="12"/>
      <c r="F60" s="12"/>
      <c r="G60" s="12"/>
      <c r="H60" s="12"/>
      <c r="I60" s="12"/>
      <c r="J60" s="12"/>
      <c r="K60" s="12"/>
      <c r="L60" s="12"/>
      <c r="M60" s="12"/>
      <c r="N60" s="12"/>
      <c r="O60" s="12"/>
      <c r="P60" s="12"/>
      <c r="Q60" s="12"/>
      <c r="R60" s="12"/>
      <c r="S60" s="12"/>
      <c r="T60" s="12"/>
      <c r="U60" s="12"/>
      <c r="V60" s="12"/>
      <c r="W60" s="12"/>
      <c r="X60" s="12"/>
      <c r="Y60" s="12"/>
      <c r="Z60" s="12"/>
      <c r="AA60" s="12"/>
      <c r="AB60" s="12"/>
      <c r="AC60" s="38"/>
    </row>
    <row r="61" ht="12.75" customHeight="1">
      <c r="B61" s="12"/>
      <c r="C61" s="104"/>
      <c r="D61" s="12"/>
      <c r="E61" s="12"/>
      <c r="F61" s="12"/>
      <c r="G61" s="12"/>
      <c r="H61" s="12"/>
      <c r="I61" s="12"/>
      <c r="J61" s="12"/>
      <c r="K61" s="12"/>
      <c r="L61" s="12"/>
      <c r="M61" s="12"/>
      <c r="N61" s="12"/>
      <c r="O61" s="12"/>
      <c r="P61" s="12"/>
      <c r="Q61" s="12"/>
      <c r="R61" s="12"/>
      <c r="S61" s="12"/>
      <c r="T61" s="12"/>
      <c r="U61" s="12"/>
      <c r="V61" s="12"/>
      <c r="W61" s="12"/>
      <c r="X61" s="12"/>
      <c r="Y61" s="12"/>
      <c r="Z61" s="12"/>
      <c r="AA61" s="12"/>
      <c r="AB61" s="12"/>
      <c r="AC61" s="38"/>
    </row>
    <row r="62" ht="12.75" customHeight="1">
      <c r="B62" s="12"/>
      <c r="C62" s="104"/>
      <c r="D62" s="12"/>
      <c r="E62" s="12"/>
      <c r="F62" s="12"/>
      <c r="G62" s="12"/>
      <c r="H62" s="12"/>
      <c r="I62" s="12"/>
      <c r="J62" s="12"/>
      <c r="K62" s="12"/>
      <c r="L62" s="12"/>
      <c r="M62" s="12"/>
      <c r="N62" s="12"/>
      <c r="O62" s="12"/>
      <c r="P62" s="12"/>
      <c r="Q62" s="12"/>
      <c r="R62" s="12"/>
      <c r="S62" s="12"/>
      <c r="T62" s="12"/>
      <c r="U62" s="12"/>
      <c r="V62" s="12"/>
      <c r="W62" s="12"/>
      <c r="X62" s="12"/>
      <c r="Y62" s="12"/>
      <c r="Z62" s="12"/>
      <c r="AA62" s="12"/>
      <c r="AB62" s="12"/>
      <c r="AC62" s="38"/>
    </row>
    <row r="63" ht="12.75" customHeight="1">
      <c r="B63" s="12"/>
      <c r="C63" s="104"/>
      <c r="D63" s="12"/>
      <c r="E63" s="12"/>
      <c r="F63" s="12"/>
      <c r="G63" s="12"/>
      <c r="H63" s="12"/>
      <c r="I63" s="12"/>
      <c r="J63" s="12"/>
      <c r="K63" s="12"/>
      <c r="L63" s="12"/>
      <c r="M63" s="12"/>
      <c r="N63" s="12"/>
      <c r="O63" s="12"/>
      <c r="P63" s="12"/>
      <c r="Q63" s="12"/>
      <c r="R63" s="12"/>
      <c r="S63" s="12"/>
      <c r="T63" s="12"/>
      <c r="U63" s="12"/>
      <c r="V63" s="12"/>
      <c r="W63" s="12"/>
      <c r="X63" s="12"/>
      <c r="Y63" s="12"/>
      <c r="Z63" s="12"/>
      <c r="AA63" s="12"/>
      <c r="AB63" s="12"/>
      <c r="AC63" s="38"/>
    </row>
    <row r="64" ht="12.75" customHeight="1">
      <c r="B64" s="12"/>
      <c r="C64" s="104"/>
      <c r="D64" s="12"/>
      <c r="E64" s="12"/>
      <c r="F64" s="12"/>
      <c r="G64" s="12"/>
      <c r="H64" s="12"/>
      <c r="I64" s="12"/>
      <c r="J64" s="12"/>
      <c r="K64" s="12"/>
      <c r="L64" s="12"/>
      <c r="M64" s="12"/>
      <c r="N64" s="12"/>
      <c r="O64" s="12"/>
      <c r="P64" s="12"/>
      <c r="Q64" s="12"/>
      <c r="R64" s="12"/>
      <c r="S64" s="12"/>
      <c r="T64" s="12"/>
      <c r="U64" s="12"/>
      <c r="V64" s="12"/>
      <c r="W64" s="12"/>
      <c r="X64" s="12"/>
      <c r="Y64" s="12"/>
      <c r="Z64" s="12"/>
      <c r="AA64" s="12"/>
      <c r="AB64" s="12"/>
      <c r="AC64" s="38"/>
    </row>
    <row r="65" ht="12.75" customHeight="1">
      <c r="B65" s="12"/>
      <c r="C65" s="104"/>
      <c r="D65" s="12"/>
      <c r="E65" s="12"/>
      <c r="F65" s="12"/>
      <c r="G65" s="12"/>
      <c r="H65" s="12"/>
      <c r="I65" s="12"/>
      <c r="J65" s="12"/>
      <c r="K65" s="12"/>
      <c r="L65" s="12"/>
      <c r="M65" s="12"/>
      <c r="N65" s="12"/>
      <c r="O65" s="12"/>
      <c r="P65" s="12"/>
      <c r="Q65" s="12"/>
      <c r="R65" s="12"/>
      <c r="S65" s="12"/>
      <c r="T65" s="12"/>
      <c r="U65" s="12"/>
      <c r="V65" s="12"/>
      <c r="W65" s="12"/>
      <c r="X65" s="12"/>
      <c r="Y65" s="12"/>
      <c r="Z65" s="12"/>
      <c r="AA65" s="12"/>
      <c r="AB65" s="12"/>
      <c r="AC65" s="38"/>
    </row>
    <row r="66" ht="12.75" customHeight="1">
      <c r="B66" s="12"/>
      <c r="C66" s="104"/>
      <c r="D66" s="12"/>
      <c r="E66" s="12"/>
      <c r="F66" s="12"/>
      <c r="G66" s="12"/>
      <c r="H66" s="12"/>
      <c r="I66" s="12"/>
      <c r="J66" s="12"/>
      <c r="K66" s="12"/>
      <c r="L66" s="12"/>
      <c r="M66" s="12"/>
      <c r="N66" s="12"/>
      <c r="O66" s="12"/>
      <c r="P66" s="12"/>
      <c r="Q66" s="12"/>
      <c r="R66" s="12"/>
      <c r="S66" s="12"/>
      <c r="T66" s="12"/>
      <c r="U66" s="12"/>
      <c r="V66" s="12"/>
      <c r="W66" s="12"/>
      <c r="X66" s="12"/>
      <c r="Y66" s="12"/>
      <c r="Z66" s="12"/>
      <c r="AA66" s="12"/>
      <c r="AB66" s="12"/>
      <c r="AC66" s="38"/>
    </row>
    <row r="67" ht="12.75" customHeight="1">
      <c r="B67" s="12"/>
      <c r="C67" s="104"/>
      <c r="D67" s="12"/>
      <c r="E67" s="12"/>
      <c r="F67" s="12"/>
      <c r="G67" s="12"/>
      <c r="H67" s="12"/>
      <c r="I67" s="12"/>
      <c r="J67" s="12"/>
      <c r="K67" s="12"/>
      <c r="L67" s="12"/>
      <c r="M67" s="12"/>
      <c r="N67" s="12"/>
      <c r="O67" s="12"/>
      <c r="P67" s="12"/>
      <c r="Q67" s="12"/>
      <c r="R67" s="12"/>
      <c r="S67" s="12"/>
      <c r="T67" s="12"/>
      <c r="U67" s="12"/>
      <c r="V67" s="12"/>
      <c r="W67" s="12"/>
      <c r="X67" s="12"/>
      <c r="Y67" s="12"/>
      <c r="Z67" s="12"/>
      <c r="AA67" s="12"/>
      <c r="AB67" s="12"/>
      <c r="AC67" s="38"/>
    </row>
    <row r="68" ht="12.75" customHeight="1">
      <c r="B68" s="12"/>
      <c r="C68" s="104"/>
      <c r="D68" s="12"/>
      <c r="E68" s="12"/>
      <c r="F68" s="12"/>
      <c r="G68" s="12"/>
      <c r="H68" s="12"/>
      <c r="I68" s="12"/>
      <c r="J68" s="12"/>
      <c r="K68" s="12"/>
      <c r="L68" s="12"/>
      <c r="M68" s="12"/>
      <c r="N68" s="12"/>
      <c r="O68" s="12"/>
      <c r="P68" s="12"/>
      <c r="Q68" s="12"/>
      <c r="R68" s="12"/>
      <c r="S68" s="12"/>
      <c r="T68" s="12"/>
      <c r="U68" s="12"/>
      <c r="V68" s="12"/>
      <c r="W68" s="12"/>
      <c r="X68" s="12"/>
      <c r="Y68" s="12"/>
      <c r="Z68" s="12"/>
      <c r="AA68" s="12"/>
      <c r="AB68" s="12"/>
      <c r="AC68" s="38"/>
    </row>
    <row r="69" ht="12.75" customHeight="1">
      <c r="B69" s="12"/>
      <c r="C69" s="104"/>
      <c r="D69" s="12"/>
      <c r="E69" s="12"/>
      <c r="F69" s="12"/>
      <c r="G69" s="12"/>
      <c r="H69" s="12"/>
      <c r="I69" s="12"/>
      <c r="J69" s="12"/>
      <c r="K69" s="12"/>
      <c r="L69" s="12"/>
      <c r="M69" s="12"/>
      <c r="N69" s="12"/>
      <c r="O69" s="12"/>
      <c r="P69" s="12"/>
      <c r="Q69" s="12"/>
      <c r="R69" s="12"/>
      <c r="S69" s="12"/>
      <c r="T69" s="12"/>
      <c r="U69" s="12"/>
      <c r="V69" s="12"/>
      <c r="W69" s="12"/>
      <c r="X69" s="12"/>
      <c r="Y69" s="12"/>
      <c r="Z69" s="12"/>
      <c r="AA69" s="12"/>
      <c r="AB69" s="12"/>
      <c r="AC69" s="38"/>
    </row>
    <row r="70" ht="12.75" customHeight="1">
      <c r="B70" s="12"/>
      <c r="C70" s="104"/>
      <c r="D70" s="12"/>
      <c r="E70" s="12"/>
      <c r="F70" s="12"/>
      <c r="G70" s="12"/>
      <c r="H70" s="12"/>
      <c r="I70" s="12"/>
      <c r="J70" s="12"/>
      <c r="K70" s="12"/>
      <c r="L70" s="12"/>
      <c r="M70" s="12"/>
      <c r="N70" s="12"/>
      <c r="O70" s="12"/>
      <c r="P70" s="12"/>
      <c r="Q70" s="12"/>
      <c r="R70" s="12"/>
      <c r="S70" s="12"/>
      <c r="T70" s="12"/>
      <c r="U70" s="12"/>
      <c r="V70" s="12"/>
      <c r="W70" s="12"/>
      <c r="X70" s="12"/>
      <c r="Y70" s="12"/>
      <c r="Z70" s="12"/>
      <c r="AA70" s="12"/>
      <c r="AB70" s="12"/>
      <c r="AC70" s="38"/>
    </row>
    <row r="71" ht="12.75" customHeight="1">
      <c r="B71" s="12"/>
      <c r="C71" s="104"/>
      <c r="D71" s="12"/>
      <c r="E71" s="12"/>
      <c r="F71" s="12"/>
      <c r="G71" s="12"/>
      <c r="H71" s="12"/>
      <c r="I71" s="12"/>
      <c r="J71" s="12"/>
      <c r="K71" s="12"/>
      <c r="L71" s="12"/>
      <c r="M71" s="12"/>
      <c r="N71" s="12"/>
      <c r="O71" s="12"/>
      <c r="P71" s="12"/>
      <c r="Q71" s="12"/>
      <c r="R71" s="12"/>
      <c r="S71" s="12"/>
      <c r="T71" s="12"/>
      <c r="U71" s="12"/>
      <c r="V71" s="12"/>
      <c r="W71" s="12"/>
      <c r="X71" s="12"/>
      <c r="Y71" s="12"/>
      <c r="Z71" s="12"/>
      <c r="AA71" s="12"/>
      <c r="AB71" s="12"/>
      <c r="AC71" s="38"/>
    </row>
    <row r="72" ht="12.75" customHeight="1">
      <c r="B72" s="12"/>
      <c r="C72" s="104"/>
      <c r="D72" s="12"/>
      <c r="E72" s="12"/>
      <c r="F72" s="12"/>
      <c r="G72" s="12"/>
      <c r="H72" s="12"/>
      <c r="I72" s="12"/>
      <c r="J72" s="12"/>
      <c r="K72" s="12"/>
      <c r="L72" s="12"/>
      <c r="M72" s="12"/>
      <c r="N72" s="12"/>
      <c r="O72" s="12"/>
      <c r="P72" s="12"/>
      <c r="Q72" s="12"/>
      <c r="R72" s="12"/>
      <c r="S72" s="12"/>
      <c r="T72" s="12"/>
      <c r="U72" s="12"/>
      <c r="V72" s="12"/>
      <c r="W72" s="12"/>
      <c r="X72" s="12"/>
      <c r="Y72" s="12"/>
      <c r="Z72" s="12"/>
      <c r="AA72" s="12"/>
      <c r="AB72" s="12"/>
      <c r="AC72" s="38"/>
    </row>
    <row r="73" ht="12.75" customHeight="1">
      <c r="B73" s="12"/>
      <c r="C73" s="104"/>
      <c r="D73" s="12"/>
      <c r="E73" s="12"/>
      <c r="F73" s="12"/>
      <c r="G73" s="12"/>
      <c r="H73" s="12"/>
      <c r="I73" s="12"/>
      <c r="J73" s="12"/>
      <c r="K73" s="12"/>
      <c r="L73" s="12"/>
      <c r="M73" s="12"/>
      <c r="N73" s="12"/>
      <c r="O73" s="12"/>
      <c r="P73" s="12"/>
      <c r="Q73" s="12"/>
      <c r="R73" s="12"/>
      <c r="S73" s="12"/>
      <c r="T73" s="12"/>
      <c r="U73" s="12"/>
      <c r="V73" s="12"/>
      <c r="W73" s="12"/>
      <c r="X73" s="12"/>
      <c r="Y73" s="12"/>
      <c r="Z73" s="12"/>
      <c r="AA73" s="12"/>
      <c r="AB73" s="12"/>
      <c r="AC73" s="38"/>
    </row>
    <row r="74" ht="12.75" customHeight="1">
      <c r="B74" s="12"/>
      <c r="C74" s="104"/>
      <c r="D74" s="12"/>
      <c r="E74" s="12"/>
      <c r="F74" s="12"/>
      <c r="G74" s="12"/>
      <c r="H74" s="12"/>
      <c r="I74" s="12"/>
      <c r="J74" s="12"/>
      <c r="K74" s="12"/>
      <c r="L74" s="12"/>
      <c r="M74" s="12"/>
      <c r="N74" s="12"/>
      <c r="O74" s="12"/>
      <c r="P74" s="12"/>
      <c r="Q74" s="12"/>
      <c r="R74" s="12"/>
      <c r="S74" s="12"/>
      <c r="T74" s="12"/>
      <c r="U74" s="12"/>
      <c r="V74" s="12"/>
      <c r="W74" s="12"/>
      <c r="X74" s="12"/>
      <c r="Y74" s="12"/>
      <c r="Z74" s="12"/>
      <c r="AA74" s="12"/>
      <c r="AB74" s="12"/>
      <c r="AC74" s="38"/>
    </row>
    <row r="75" ht="12.75" customHeight="1">
      <c r="B75" s="12"/>
      <c r="C75" s="104"/>
      <c r="D75" s="12"/>
      <c r="E75" s="12"/>
      <c r="F75" s="12"/>
      <c r="G75" s="12"/>
      <c r="H75" s="12"/>
      <c r="I75" s="12"/>
      <c r="J75" s="12"/>
      <c r="K75" s="12"/>
      <c r="L75" s="12"/>
      <c r="M75" s="12"/>
      <c r="N75" s="12"/>
      <c r="O75" s="12"/>
      <c r="P75" s="12"/>
      <c r="Q75" s="12"/>
      <c r="R75" s="12"/>
      <c r="S75" s="12"/>
      <c r="T75" s="12"/>
      <c r="U75" s="12"/>
      <c r="V75" s="12"/>
      <c r="W75" s="12"/>
      <c r="X75" s="12"/>
      <c r="Y75" s="12"/>
      <c r="Z75" s="12"/>
      <c r="AA75" s="12"/>
      <c r="AB75" s="12"/>
      <c r="AC75" s="38"/>
    </row>
    <row r="76" ht="12.75" customHeight="1">
      <c r="B76" s="12"/>
      <c r="C76" s="104"/>
      <c r="D76" s="12"/>
      <c r="E76" s="12"/>
      <c r="F76" s="12"/>
      <c r="G76" s="12"/>
      <c r="H76" s="12"/>
      <c r="I76" s="12"/>
      <c r="J76" s="12"/>
      <c r="K76" s="12"/>
      <c r="L76" s="12"/>
      <c r="M76" s="12"/>
      <c r="N76" s="12"/>
      <c r="O76" s="12"/>
      <c r="P76" s="12"/>
      <c r="Q76" s="12"/>
      <c r="R76" s="12"/>
      <c r="S76" s="12"/>
      <c r="T76" s="12"/>
      <c r="U76" s="12"/>
      <c r="V76" s="12"/>
      <c r="W76" s="12"/>
      <c r="X76" s="12"/>
      <c r="Y76" s="12"/>
      <c r="Z76" s="12"/>
      <c r="AA76" s="12"/>
      <c r="AB76" s="12"/>
      <c r="AC76" s="38"/>
    </row>
    <row r="77" ht="12.75" customHeight="1">
      <c r="B77" s="12"/>
      <c r="C77" s="104"/>
      <c r="D77" s="12"/>
      <c r="E77" s="12"/>
      <c r="F77" s="12"/>
      <c r="G77" s="12"/>
      <c r="H77" s="12"/>
      <c r="I77" s="12"/>
      <c r="J77" s="12"/>
      <c r="K77" s="12"/>
      <c r="L77" s="12"/>
      <c r="M77" s="12"/>
      <c r="N77" s="12"/>
      <c r="O77" s="12"/>
      <c r="P77" s="12"/>
      <c r="Q77" s="12"/>
      <c r="R77" s="12"/>
      <c r="S77" s="12"/>
      <c r="T77" s="12"/>
      <c r="U77" s="12"/>
      <c r="V77" s="12"/>
      <c r="W77" s="12"/>
      <c r="X77" s="12"/>
      <c r="Y77" s="12"/>
      <c r="Z77" s="12"/>
      <c r="AA77" s="12"/>
      <c r="AB77" s="12"/>
      <c r="AC77" s="38"/>
    </row>
    <row r="78" ht="12.75" customHeight="1">
      <c r="B78" s="12"/>
      <c r="C78" s="104"/>
      <c r="D78" s="12"/>
      <c r="E78" s="12"/>
      <c r="F78" s="12"/>
      <c r="G78" s="12"/>
      <c r="H78" s="12"/>
      <c r="I78" s="12"/>
      <c r="J78" s="12"/>
      <c r="K78" s="12"/>
      <c r="L78" s="12"/>
      <c r="M78" s="12"/>
      <c r="N78" s="12"/>
      <c r="O78" s="12"/>
      <c r="P78" s="12"/>
      <c r="Q78" s="12"/>
      <c r="R78" s="12"/>
      <c r="S78" s="12"/>
      <c r="T78" s="12"/>
      <c r="U78" s="12"/>
      <c r="V78" s="12"/>
      <c r="W78" s="12"/>
      <c r="X78" s="12"/>
      <c r="Y78" s="12"/>
      <c r="Z78" s="12"/>
      <c r="AA78" s="12"/>
      <c r="AB78" s="12"/>
      <c r="AC78" s="38"/>
    </row>
    <row r="79" ht="12.75" customHeight="1">
      <c r="B79" s="12"/>
      <c r="C79" s="104"/>
      <c r="D79" s="12"/>
      <c r="E79" s="12"/>
      <c r="F79" s="12"/>
      <c r="G79" s="12"/>
      <c r="H79" s="12"/>
      <c r="I79" s="12"/>
      <c r="J79" s="12"/>
      <c r="K79" s="12"/>
      <c r="L79" s="12"/>
      <c r="M79" s="12"/>
      <c r="N79" s="12"/>
      <c r="O79" s="12"/>
      <c r="P79" s="12"/>
      <c r="Q79" s="12"/>
      <c r="R79" s="12"/>
      <c r="S79" s="12"/>
      <c r="T79" s="12"/>
      <c r="U79" s="12"/>
      <c r="V79" s="12"/>
      <c r="W79" s="12"/>
      <c r="X79" s="12"/>
      <c r="Y79" s="12"/>
      <c r="Z79" s="12"/>
      <c r="AA79" s="12"/>
      <c r="AB79" s="12"/>
      <c r="AC79" s="38"/>
    </row>
    <row r="80" ht="12.75" customHeight="1">
      <c r="B80" s="12"/>
      <c r="C80" s="104"/>
      <c r="D80" s="12"/>
      <c r="E80" s="12"/>
      <c r="F80" s="12"/>
      <c r="G80" s="12"/>
      <c r="H80" s="12"/>
      <c r="I80" s="12"/>
      <c r="J80" s="12"/>
      <c r="K80" s="12"/>
      <c r="L80" s="12"/>
      <c r="M80" s="12"/>
      <c r="N80" s="12"/>
      <c r="O80" s="12"/>
      <c r="P80" s="12"/>
      <c r="Q80" s="12"/>
      <c r="R80" s="12"/>
      <c r="S80" s="12"/>
      <c r="T80" s="12"/>
      <c r="U80" s="12"/>
      <c r="V80" s="12"/>
      <c r="W80" s="12"/>
      <c r="X80" s="12"/>
      <c r="Y80" s="12"/>
      <c r="Z80" s="12"/>
      <c r="AA80" s="12"/>
      <c r="AB80" s="12"/>
      <c r="AC80" s="38"/>
    </row>
    <row r="81" ht="12.75" customHeight="1">
      <c r="B81" s="12"/>
      <c r="C81" s="104"/>
      <c r="D81" s="12"/>
      <c r="E81" s="12"/>
      <c r="F81" s="12"/>
      <c r="G81" s="12"/>
      <c r="H81" s="12"/>
      <c r="I81" s="12"/>
      <c r="J81" s="12"/>
      <c r="K81" s="12"/>
      <c r="L81" s="12"/>
      <c r="M81" s="12"/>
      <c r="N81" s="12"/>
      <c r="O81" s="12"/>
      <c r="P81" s="12"/>
      <c r="Q81" s="12"/>
      <c r="R81" s="12"/>
      <c r="S81" s="12"/>
      <c r="T81" s="12"/>
      <c r="U81" s="12"/>
      <c r="V81" s="12"/>
      <c r="W81" s="12"/>
      <c r="X81" s="12"/>
      <c r="Y81" s="12"/>
      <c r="Z81" s="12"/>
      <c r="AA81" s="12"/>
      <c r="AB81" s="12"/>
      <c r="AC81" s="38"/>
    </row>
    <row r="82" ht="12.75" customHeight="1">
      <c r="B82" s="12"/>
      <c r="C82" s="104"/>
      <c r="D82" s="12"/>
      <c r="E82" s="12"/>
      <c r="F82" s="12"/>
      <c r="G82" s="12"/>
      <c r="H82" s="12"/>
      <c r="I82" s="12"/>
      <c r="J82" s="12"/>
      <c r="K82" s="12"/>
      <c r="L82" s="12"/>
      <c r="M82" s="12"/>
      <c r="N82" s="12"/>
      <c r="O82" s="12"/>
      <c r="P82" s="12"/>
      <c r="Q82" s="12"/>
      <c r="R82" s="12"/>
      <c r="S82" s="12"/>
      <c r="T82" s="12"/>
      <c r="U82" s="12"/>
      <c r="V82" s="12"/>
      <c r="W82" s="12"/>
      <c r="X82" s="12"/>
      <c r="Y82" s="12"/>
      <c r="Z82" s="12"/>
      <c r="AA82" s="12"/>
      <c r="AB82" s="12"/>
      <c r="AC82" s="38"/>
    </row>
    <row r="83" ht="12.75" customHeight="1">
      <c r="B83" s="12"/>
      <c r="C83" s="104"/>
      <c r="D83" s="12"/>
      <c r="E83" s="12"/>
      <c r="F83" s="12"/>
      <c r="G83" s="12"/>
      <c r="H83" s="12"/>
      <c r="I83" s="12"/>
      <c r="J83" s="12"/>
      <c r="K83" s="12"/>
      <c r="L83" s="12"/>
      <c r="M83" s="12"/>
      <c r="N83" s="12"/>
      <c r="O83" s="12"/>
      <c r="P83" s="12"/>
      <c r="Q83" s="12"/>
      <c r="R83" s="12"/>
      <c r="S83" s="12"/>
      <c r="T83" s="12"/>
      <c r="U83" s="12"/>
      <c r="V83" s="12"/>
      <c r="W83" s="12"/>
      <c r="X83" s="12"/>
      <c r="Y83" s="12"/>
      <c r="Z83" s="12"/>
      <c r="AA83" s="12"/>
      <c r="AB83" s="12"/>
      <c r="AC83" s="38"/>
    </row>
    <row r="84" ht="12.75" customHeight="1">
      <c r="B84" s="12"/>
      <c r="C84" s="104"/>
      <c r="D84" s="12"/>
      <c r="E84" s="12"/>
      <c r="F84" s="12"/>
      <c r="G84" s="12"/>
      <c r="H84" s="12"/>
      <c r="I84" s="12"/>
      <c r="J84" s="12"/>
      <c r="K84" s="12"/>
      <c r="L84" s="12"/>
      <c r="M84" s="12"/>
      <c r="N84" s="12"/>
      <c r="O84" s="12"/>
      <c r="P84" s="12"/>
      <c r="Q84" s="12"/>
      <c r="R84" s="12"/>
      <c r="S84" s="12"/>
      <c r="T84" s="12"/>
      <c r="U84" s="12"/>
      <c r="V84" s="12"/>
      <c r="W84" s="12"/>
      <c r="X84" s="12"/>
      <c r="Y84" s="12"/>
      <c r="Z84" s="12"/>
      <c r="AA84" s="12"/>
      <c r="AB84" s="12"/>
      <c r="AC84" s="38"/>
    </row>
    <row r="85" ht="12.75" customHeight="1">
      <c r="B85" s="12"/>
      <c r="C85" s="104"/>
      <c r="D85" s="12"/>
      <c r="E85" s="12"/>
      <c r="F85" s="12"/>
      <c r="G85" s="12"/>
      <c r="H85" s="12"/>
      <c r="I85" s="12"/>
      <c r="J85" s="12"/>
      <c r="K85" s="12"/>
      <c r="L85" s="12"/>
      <c r="M85" s="12"/>
      <c r="N85" s="12"/>
      <c r="O85" s="12"/>
      <c r="P85" s="12"/>
      <c r="Q85" s="12"/>
      <c r="R85" s="12"/>
      <c r="S85" s="12"/>
      <c r="T85" s="12"/>
      <c r="U85" s="12"/>
      <c r="V85" s="12"/>
      <c r="W85" s="12"/>
      <c r="X85" s="12"/>
      <c r="Y85" s="12"/>
      <c r="Z85" s="12"/>
      <c r="AA85" s="12"/>
      <c r="AB85" s="12"/>
      <c r="AC85" s="38"/>
    </row>
    <row r="86" ht="12.75" customHeight="1">
      <c r="B86" s="12"/>
      <c r="C86" s="104"/>
      <c r="D86" s="12"/>
      <c r="E86" s="12"/>
      <c r="F86" s="12"/>
      <c r="G86" s="12"/>
      <c r="H86" s="12"/>
      <c r="I86" s="12"/>
      <c r="J86" s="12"/>
      <c r="K86" s="12"/>
      <c r="L86" s="12"/>
      <c r="M86" s="12"/>
      <c r="N86" s="12"/>
      <c r="O86" s="12"/>
      <c r="P86" s="12"/>
      <c r="Q86" s="12"/>
      <c r="R86" s="12"/>
      <c r="S86" s="12"/>
      <c r="T86" s="12"/>
      <c r="U86" s="12"/>
      <c r="V86" s="12"/>
      <c r="W86" s="12"/>
      <c r="X86" s="12"/>
      <c r="Y86" s="12"/>
      <c r="Z86" s="12"/>
      <c r="AA86" s="12"/>
      <c r="AB86" s="12"/>
      <c r="AC86" s="38"/>
    </row>
    <row r="87" ht="12.75" customHeight="1">
      <c r="B87" s="12"/>
      <c r="C87" s="104"/>
      <c r="D87" s="12"/>
      <c r="E87" s="12"/>
      <c r="F87" s="12"/>
      <c r="G87" s="12"/>
      <c r="H87" s="12"/>
      <c r="I87" s="12"/>
      <c r="J87" s="12"/>
      <c r="K87" s="12"/>
      <c r="L87" s="12"/>
      <c r="M87" s="12"/>
      <c r="N87" s="12"/>
      <c r="O87" s="12"/>
      <c r="P87" s="12"/>
      <c r="Q87" s="12"/>
      <c r="R87" s="12"/>
      <c r="S87" s="12"/>
      <c r="T87" s="12"/>
      <c r="U87" s="12"/>
      <c r="V87" s="12"/>
      <c r="W87" s="12"/>
      <c r="X87" s="12"/>
      <c r="Y87" s="12"/>
      <c r="Z87" s="12"/>
      <c r="AA87" s="12"/>
      <c r="AB87" s="12"/>
      <c r="AC87" s="38"/>
    </row>
    <row r="88" ht="12.75" customHeight="1">
      <c r="B88" s="12"/>
      <c r="C88" s="104"/>
      <c r="D88" s="12"/>
      <c r="E88" s="12"/>
      <c r="F88" s="12"/>
      <c r="G88" s="12"/>
      <c r="H88" s="12"/>
      <c r="I88" s="12"/>
      <c r="J88" s="12"/>
      <c r="K88" s="12"/>
      <c r="L88" s="12"/>
      <c r="M88" s="12"/>
      <c r="N88" s="12"/>
      <c r="O88" s="12"/>
      <c r="P88" s="12"/>
      <c r="Q88" s="12"/>
      <c r="R88" s="12"/>
      <c r="S88" s="12"/>
      <c r="T88" s="12"/>
      <c r="U88" s="12"/>
      <c r="V88" s="12"/>
      <c r="W88" s="12"/>
      <c r="X88" s="12"/>
      <c r="Y88" s="12"/>
      <c r="Z88" s="12"/>
      <c r="AA88" s="12"/>
      <c r="AB88" s="12"/>
      <c r="AC88" s="38"/>
    </row>
    <row r="89" ht="12.75" customHeight="1">
      <c r="B89" s="12"/>
      <c r="C89" s="104"/>
      <c r="D89" s="12"/>
      <c r="E89" s="12"/>
      <c r="F89" s="12"/>
      <c r="G89" s="12"/>
      <c r="H89" s="12"/>
      <c r="I89" s="12"/>
      <c r="J89" s="12"/>
      <c r="K89" s="12"/>
      <c r="L89" s="12"/>
      <c r="M89" s="12"/>
      <c r="N89" s="12"/>
      <c r="O89" s="12"/>
      <c r="P89" s="12"/>
      <c r="Q89" s="12"/>
      <c r="R89" s="12"/>
      <c r="S89" s="12"/>
      <c r="T89" s="12"/>
      <c r="U89" s="12"/>
      <c r="V89" s="12"/>
      <c r="W89" s="12"/>
      <c r="X89" s="12"/>
      <c r="Y89" s="12"/>
      <c r="Z89" s="12"/>
      <c r="AA89" s="12"/>
      <c r="AB89" s="12"/>
      <c r="AC89" s="38"/>
    </row>
    <row r="90" ht="12.75" customHeight="1">
      <c r="B90" s="12"/>
      <c r="C90" s="104"/>
      <c r="D90" s="12"/>
      <c r="E90" s="12"/>
      <c r="F90" s="12"/>
      <c r="G90" s="12"/>
      <c r="H90" s="12"/>
      <c r="I90" s="12"/>
      <c r="J90" s="12"/>
      <c r="K90" s="12"/>
      <c r="L90" s="12"/>
      <c r="M90" s="12"/>
      <c r="N90" s="12"/>
      <c r="O90" s="12"/>
      <c r="P90" s="12"/>
      <c r="Q90" s="12"/>
      <c r="R90" s="12"/>
      <c r="S90" s="12"/>
      <c r="T90" s="12"/>
      <c r="U90" s="12"/>
      <c r="V90" s="12"/>
      <c r="W90" s="12"/>
      <c r="X90" s="12"/>
      <c r="Y90" s="12"/>
      <c r="Z90" s="12"/>
      <c r="AA90" s="12"/>
      <c r="AB90" s="12"/>
      <c r="AC90" s="38"/>
    </row>
    <row r="91" ht="12.75" customHeight="1">
      <c r="B91" s="12"/>
      <c r="C91" s="104"/>
      <c r="D91" s="12"/>
      <c r="E91" s="12"/>
      <c r="F91" s="12"/>
      <c r="G91" s="12"/>
      <c r="H91" s="12"/>
      <c r="I91" s="12"/>
      <c r="J91" s="12"/>
      <c r="K91" s="12"/>
      <c r="L91" s="12"/>
      <c r="M91" s="12"/>
      <c r="N91" s="12"/>
      <c r="O91" s="12"/>
      <c r="P91" s="12"/>
      <c r="Q91" s="12"/>
      <c r="R91" s="12"/>
      <c r="S91" s="12"/>
      <c r="T91" s="12"/>
      <c r="U91" s="12"/>
      <c r="V91" s="12"/>
      <c r="W91" s="12"/>
      <c r="X91" s="12"/>
      <c r="Y91" s="12"/>
      <c r="Z91" s="12"/>
      <c r="AA91" s="12"/>
      <c r="AB91" s="12"/>
      <c r="AC91" s="38"/>
    </row>
    <row r="92" ht="12.75" customHeight="1">
      <c r="B92" s="12"/>
      <c r="C92" s="104"/>
      <c r="D92" s="12"/>
      <c r="E92" s="12"/>
      <c r="F92" s="12"/>
      <c r="G92" s="12"/>
      <c r="H92" s="12"/>
      <c r="I92" s="12"/>
      <c r="J92" s="12"/>
      <c r="K92" s="12"/>
      <c r="L92" s="12"/>
      <c r="M92" s="12"/>
      <c r="N92" s="12"/>
      <c r="O92" s="12"/>
      <c r="P92" s="12"/>
      <c r="Q92" s="12"/>
      <c r="R92" s="12"/>
      <c r="S92" s="12"/>
      <c r="T92" s="12"/>
      <c r="U92" s="12"/>
      <c r="V92" s="12"/>
      <c r="W92" s="12"/>
      <c r="X92" s="12"/>
      <c r="Y92" s="12"/>
      <c r="Z92" s="12"/>
      <c r="AA92" s="12"/>
      <c r="AB92" s="12"/>
      <c r="AC92" s="38"/>
    </row>
    <row r="93" ht="12.75" customHeight="1">
      <c r="B93" s="12"/>
      <c r="C93" s="104"/>
      <c r="D93" s="12"/>
      <c r="E93" s="12"/>
      <c r="F93" s="12"/>
      <c r="G93" s="12"/>
      <c r="H93" s="12"/>
      <c r="I93" s="12"/>
      <c r="J93" s="12"/>
      <c r="K93" s="12"/>
      <c r="L93" s="12"/>
      <c r="M93" s="12"/>
      <c r="N93" s="12"/>
      <c r="O93" s="12"/>
      <c r="P93" s="12"/>
      <c r="Q93" s="12"/>
      <c r="R93" s="12"/>
      <c r="S93" s="12"/>
      <c r="T93" s="12"/>
      <c r="U93" s="12"/>
      <c r="V93" s="12"/>
      <c r="W93" s="12"/>
      <c r="X93" s="12"/>
      <c r="Y93" s="12"/>
      <c r="Z93" s="12"/>
      <c r="AA93" s="12"/>
      <c r="AB93" s="12"/>
      <c r="AC93" s="38"/>
    </row>
    <row r="94" ht="12.75" customHeight="1">
      <c r="B94" s="12"/>
      <c r="C94" s="104"/>
      <c r="D94" s="12"/>
      <c r="E94" s="12"/>
      <c r="F94" s="12"/>
      <c r="G94" s="12"/>
      <c r="H94" s="12"/>
      <c r="I94" s="12"/>
      <c r="J94" s="12"/>
      <c r="K94" s="12"/>
      <c r="L94" s="12"/>
      <c r="M94" s="12"/>
      <c r="N94" s="12"/>
      <c r="O94" s="12"/>
      <c r="P94" s="12"/>
      <c r="Q94" s="12"/>
      <c r="R94" s="12"/>
      <c r="S94" s="12"/>
      <c r="T94" s="12"/>
      <c r="U94" s="12"/>
      <c r="V94" s="12"/>
      <c r="W94" s="12"/>
      <c r="X94" s="12"/>
      <c r="Y94" s="12"/>
      <c r="Z94" s="12"/>
      <c r="AA94" s="12"/>
      <c r="AB94" s="12"/>
      <c r="AC94" s="38"/>
    </row>
    <row r="95" ht="12.75" customHeight="1">
      <c r="B95" s="12"/>
      <c r="C95" s="104"/>
      <c r="D95" s="12"/>
      <c r="E95" s="12"/>
      <c r="F95" s="12"/>
      <c r="G95" s="12"/>
      <c r="H95" s="12"/>
      <c r="I95" s="12"/>
      <c r="J95" s="12"/>
      <c r="K95" s="12"/>
      <c r="L95" s="12"/>
      <c r="M95" s="12"/>
      <c r="N95" s="12"/>
      <c r="O95" s="12"/>
      <c r="P95" s="12"/>
      <c r="Q95" s="12"/>
      <c r="R95" s="12"/>
      <c r="S95" s="12"/>
      <c r="T95" s="12"/>
      <c r="U95" s="12"/>
      <c r="V95" s="12"/>
      <c r="W95" s="12"/>
      <c r="X95" s="12"/>
      <c r="Y95" s="12"/>
      <c r="Z95" s="12"/>
      <c r="AA95" s="12"/>
      <c r="AB95" s="12"/>
      <c r="AC95" s="38"/>
    </row>
    <row r="96" ht="12.75" customHeight="1">
      <c r="B96" s="12"/>
      <c r="C96" s="104"/>
      <c r="D96" s="12"/>
      <c r="E96" s="12"/>
      <c r="F96" s="12"/>
      <c r="G96" s="12"/>
      <c r="H96" s="12"/>
      <c r="I96" s="12"/>
      <c r="J96" s="12"/>
      <c r="K96" s="12"/>
      <c r="L96" s="12"/>
      <c r="M96" s="12"/>
      <c r="N96" s="12"/>
      <c r="O96" s="12"/>
      <c r="P96" s="12"/>
      <c r="Q96" s="12"/>
      <c r="R96" s="12"/>
      <c r="S96" s="12"/>
      <c r="T96" s="12"/>
      <c r="U96" s="12"/>
      <c r="V96" s="12"/>
      <c r="W96" s="12"/>
      <c r="X96" s="12"/>
      <c r="Y96" s="12"/>
      <c r="Z96" s="12"/>
      <c r="AA96" s="12"/>
      <c r="AB96" s="12"/>
      <c r="AC96" s="38"/>
    </row>
    <row r="97" ht="12.75" customHeight="1">
      <c r="B97" s="12"/>
      <c r="C97" s="104"/>
      <c r="D97" s="12"/>
      <c r="E97" s="12"/>
      <c r="F97" s="12"/>
      <c r="G97" s="12"/>
      <c r="H97" s="12"/>
      <c r="I97" s="12"/>
      <c r="J97" s="12"/>
      <c r="K97" s="12"/>
      <c r="L97" s="12"/>
      <c r="M97" s="12"/>
      <c r="N97" s="12"/>
      <c r="O97" s="12"/>
      <c r="P97" s="12"/>
      <c r="Q97" s="12"/>
      <c r="R97" s="12"/>
      <c r="S97" s="12"/>
      <c r="T97" s="12"/>
      <c r="U97" s="12"/>
      <c r="V97" s="12"/>
      <c r="W97" s="12"/>
      <c r="X97" s="12"/>
      <c r="Y97" s="12"/>
      <c r="Z97" s="12"/>
      <c r="AA97" s="12"/>
      <c r="AB97" s="12"/>
      <c r="AC97" s="38"/>
    </row>
    <row r="98" ht="12.75" customHeight="1">
      <c r="B98" s="12"/>
      <c r="C98" s="104"/>
      <c r="D98" s="12"/>
      <c r="E98" s="12"/>
      <c r="F98" s="12"/>
      <c r="G98" s="12"/>
      <c r="H98" s="12"/>
      <c r="I98" s="12"/>
      <c r="J98" s="12"/>
      <c r="K98" s="12"/>
      <c r="L98" s="12"/>
      <c r="M98" s="12"/>
      <c r="N98" s="12"/>
      <c r="O98" s="12"/>
      <c r="P98" s="12"/>
      <c r="Q98" s="12"/>
      <c r="R98" s="12"/>
      <c r="S98" s="12"/>
      <c r="T98" s="12"/>
      <c r="U98" s="12"/>
      <c r="V98" s="12"/>
      <c r="W98" s="12"/>
      <c r="X98" s="12"/>
      <c r="Y98" s="12"/>
      <c r="Z98" s="12"/>
      <c r="AA98" s="12"/>
      <c r="AB98" s="12"/>
      <c r="AC98" s="38"/>
    </row>
    <row r="99" ht="12.75" customHeight="1">
      <c r="B99" s="12"/>
      <c r="C99" s="104"/>
      <c r="D99" s="12"/>
      <c r="E99" s="12"/>
      <c r="F99" s="12"/>
      <c r="G99" s="12"/>
      <c r="H99" s="12"/>
      <c r="I99" s="12"/>
      <c r="J99" s="12"/>
      <c r="K99" s="12"/>
      <c r="L99" s="12"/>
      <c r="M99" s="12"/>
      <c r="N99" s="12"/>
      <c r="O99" s="12"/>
      <c r="P99" s="12"/>
      <c r="Q99" s="12"/>
      <c r="R99" s="12"/>
      <c r="S99" s="12"/>
      <c r="T99" s="12"/>
      <c r="U99" s="12"/>
      <c r="V99" s="12"/>
      <c r="W99" s="12"/>
      <c r="X99" s="12"/>
      <c r="Y99" s="12"/>
      <c r="Z99" s="12"/>
      <c r="AA99" s="12"/>
      <c r="AB99" s="12"/>
      <c r="AC99" s="38"/>
    </row>
    <row r="100" ht="12.75" customHeight="1">
      <c r="B100" s="12"/>
      <c r="C100" s="104"/>
      <c r="D100" s="12"/>
      <c r="E100" s="12"/>
      <c r="F100" s="12"/>
      <c r="G100" s="12"/>
      <c r="H100" s="12"/>
      <c r="I100" s="12"/>
      <c r="J100" s="12"/>
      <c r="K100" s="12"/>
      <c r="L100" s="12"/>
      <c r="M100" s="12"/>
      <c r="N100" s="12"/>
      <c r="O100" s="12"/>
      <c r="P100" s="12"/>
      <c r="Q100" s="12"/>
      <c r="R100" s="12"/>
      <c r="S100" s="12"/>
      <c r="T100" s="12"/>
      <c r="U100" s="12"/>
      <c r="V100" s="12"/>
      <c r="W100" s="12"/>
      <c r="X100" s="12"/>
      <c r="Y100" s="12"/>
      <c r="Z100" s="12"/>
      <c r="AA100" s="12"/>
      <c r="AB100" s="12"/>
      <c r="AC100" s="38"/>
    </row>
    <row r="101" ht="12.75" customHeight="1">
      <c r="B101" s="12"/>
      <c r="C101" s="104"/>
      <c r="D101" s="12"/>
      <c r="E101" s="12"/>
      <c r="F101" s="12"/>
      <c r="G101" s="12"/>
      <c r="H101" s="12"/>
      <c r="I101" s="12"/>
      <c r="J101" s="12"/>
      <c r="K101" s="12"/>
      <c r="L101" s="12"/>
      <c r="M101" s="12"/>
      <c r="N101" s="12"/>
      <c r="O101" s="12"/>
      <c r="P101" s="12"/>
      <c r="Q101" s="12"/>
      <c r="R101" s="12"/>
      <c r="S101" s="12"/>
      <c r="T101" s="12"/>
      <c r="U101" s="12"/>
      <c r="V101" s="12"/>
      <c r="W101" s="12"/>
      <c r="X101" s="12"/>
      <c r="Y101" s="12"/>
      <c r="Z101" s="12"/>
      <c r="AA101" s="12"/>
      <c r="AB101" s="12"/>
      <c r="AC101" s="38"/>
    </row>
    <row r="102" ht="12.75" customHeight="1">
      <c r="B102" s="12"/>
      <c r="C102" s="104"/>
      <c r="D102" s="12"/>
      <c r="E102" s="12"/>
      <c r="F102" s="12"/>
      <c r="G102" s="12"/>
      <c r="H102" s="12"/>
      <c r="I102" s="12"/>
      <c r="J102" s="12"/>
      <c r="K102" s="12"/>
      <c r="L102" s="12"/>
      <c r="M102" s="12"/>
      <c r="N102" s="12"/>
      <c r="O102" s="12"/>
      <c r="P102" s="12"/>
      <c r="Q102" s="12"/>
      <c r="R102" s="12"/>
      <c r="S102" s="12"/>
      <c r="T102" s="12"/>
      <c r="U102" s="12"/>
      <c r="V102" s="12"/>
      <c r="W102" s="12"/>
      <c r="X102" s="12"/>
      <c r="Y102" s="12"/>
      <c r="Z102" s="12"/>
      <c r="AA102" s="12"/>
      <c r="AB102" s="12"/>
      <c r="AC102" s="38"/>
    </row>
    <row r="103" ht="12.75" customHeight="1">
      <c r="B103" s="12"/>
      <c r="C103" s="104"/>
      <c r="D103" s="12"/>
      <c r="E103" s="12"/>
      <c r="F103" s="12"/>
      <c r="G103" s="12"/>
      <c r="H103" s="12"/>
      <c r="I103" s="12"/>
      <c r="J103" s="12"/>
      <c r="K103" s="12"/>
      <c r="L103" s="12"/>
      <c r="M103" s="12"/>
      <c r="N103" s="12"/>
      <c r="O103" s="12"/>
      <c r="P103" s="12"/>
      <c r="Q103" s="12"/>
      <c r="R103" s="12"/>
      <c r="S103" s="12"/>
      <c r="T103" s="12"/>
      <c r="U103" s="12"/>
      <c r="V103" s="12"/>
      <c r="W103" s="12"/>
      <c r="X103" s="12"/>
      <c r="Y103" s="12"/>
      <c r="Z103" s="12"/>
      <c r="AA103" s="12"/>
      <c r="AB103" s="12"/>
      <c r="AC103" s="38"/>
    </row>
    <row r="104" ht="12.75" customHeight="1">
      <c r="B104" s="12"/>
      <c r="C104" s="104"/>
      <c r="D104" s="12"/>
      <c r="E104" s="12"/>
      <c r="F104" s="12"/>
      <c r="G104" s="12"/>
      <c r="H104" s="12"/>
      <c r="I104" s="12"/>
      <c r="J104" s="12"/>
      <c r="K104" s="12"/>
      <c r="L104" s="12"/>
      <c r="M104" s="12"/>
      <c r="N104" s="12"/>
      <c r="O104" s="12"/>
      <c r="P104" s="12"/>
      <c r="Q104" s="12"/>
      <c r="R104" s="12"/>
      <c r="S104" s="12"/>
      <c r="T104" s="12"/>
      <c r="U104" s="12"/>
      <c r="V104" s="12"/>
      <c r="W104" s="12"/>
      <c r="X104" s="12"/>
      <c r="Y104" s="12"/>
      <c r="Z104" s="12"/>
      <c r="AA104" s="12"/>
      <c r="AB104" s="12"/>
      <c r="AC104" s="38"/>
    </row>
    <row r="105" ht="12.75" customHeight="1">
      <c r="B105" s="12"/>
      <c r="C105" s="104"/>
      <c r="D105" s="12"/>
      <c r="E105" s="12"/>
      <c r="F105" s="12"/>
      <c r="G105" s="12"/>
      <c r="H105" s="12"/>
      <c r="I105" s="12"/>
      <c r="J105" s="12"/>
      <c r="K105" s="12"/>
      <c r="L105" s="12"/>
      <c r="M105" s="12"/>
      <c r="N105" s="12"/>
      <c r="O105" s="12"/>
      <c r="P105" s="12"/>
      <c r="Q105" s="12"/>
      <c r="R105" s="12"/>
      <c r="S105" s="12"/>
      <c r="T105" s="12"/>
      <c r="U105" s="12"/>
      <c r="V105" s="12"/>
      <c r="W105" s="12"/>
      <c r="X105" s="12"/>
      <c r="Y105" s="12"/>
      <c r="Z105" s="12"/>
      <c r="AA105" s="12"/>
      <c r="AB105" s="12"/>
      <c r="AC105" s="38"/>
    </row>
    <row r="106" ht="12.75" customHeight="1">
      <c r="B106" s="12"/>
      <c r="C106" s="104"/>
      <c r="D106" s="12"/>
      <c r="E106" s="12"/>
      <c r="F106" s="12"/>
      <c r="G106" s="12"/>
      <c r="H106" s="12"/>
      <c r="I106" s="12"/>
      <c r="J106" s="12"/>
      <c r="K106" s="12"/>
      <c r="L106" s="12"/>
      <c r="M106" s="12"/>
      <c r="N106" s="12"/>
      <c r="O106" s="12"/>
      <c r="P106" s="12"/>
      <c r="Q106" s="12"/>
      <c r="R106" s="12"/>
      <c r="S106" s="12"/>
      <c r="T106" s="12"/>
      <c r="U106" s="12"/>
      <c r="V106" s="12"/>
      <c r="W106" s="12"/>
      <c r="X106" s="12"/>
      <c r="Y106" s="12"/>
      <c r="Z106" s="12"/>
      <c r="AA106" s="12"/>
      <c r="AB106" s="12"/>
      <c r="AC106" s="38"/>
    </row>
    <row r="107" ht="12.75" customHeight="1">
      <c r="B107" s="12"/>
      <c r="C107" s="104"/>
      <c r="D107" s="12"/>
      <c r="E107" s="12"/>
      <c r="F107" s="12"/>
      <c r="G107" s="12"/>
      <c r="H107" s="12"/>
      <c r="I107" s="12"/>
      <c r="J107" s="12"/>
      <c r="K107" s="12"/>
      <c r="L107" s="12"/>
      <c r="M107" s="12"/>
      <c r="N107" s="12"/>
      <c r="O107" s="12"/>
      <c r="P107" s="12"/>
      <c r="Q107" s="12"/>
      <c r="R107" s="12"/>
      <c r="S107" s="12"/>
      <c r="T107" s="12"/>
      <c r="U107" s="12"/>
      <c r="V107" s="12"/>
      <c r="W107" s="12"/>
      <c r="X107" s="12"/>
      <c r="Y107" s="12"/>
      <c r="Z107" s="12"/>
      <c r="AA107" s="12"/>
      <c r="AB107" s="12"/>
      <c r="AC107" s="38"/>
    </row>
    <row r="108" ht="12.75" customHeight="1">
      <c r="B108" s="12"/>
      <c r="C108" s="104"/>
      <c r="D108" s="12"/>
      <c r="E108" s="12"/>
      <c r="F108" s="12"/>
      <c r="G108" s="12"/>
      <c r="H108" s="12"/>
      <c r="I108" s="12"/>
      <c r="J108" s="12"/>
      <c r="K108" s="12"/>
      <c r="L108" s="12"/>
      <c r="M108" s="12"/>
      <c r="N108" s="12"/>
      <c r="O108" s="12"/>
      <c r="P108" s="12"/>
      <c r="Q108" s="12"/>
      <c r="R108" s="12"/>
      <c r="S108" s="12"/>
      <c r="T108" s="12"/>
      <c r="U108" s="12"/>
      <c r="V108" s="12"/>
      <c r="W108" s="12"/>
      <c r="X108" s="12"/>
      <c r="Y108" s="12"/>
      <c r="Z108" s="12"/>
      <c r="AA108" s="12"/>
      <c r="AB108" s="12"/>
      <c r="AC108" s="38"/>
    </row>
    <row r="109" ht="12.75" customHeight="1">
      <c r="B109" s="12"/>
      <c r="C109" s="104"/>
      <c r="D109" s="12"/>
      <c r="E109" s="12"/>
      <c r="F109" s="12"/>
      <c r="G109" s="12"/>
      <c r="H109" s="12"/>
      <c r="I109" s="12"/>
      <c r="J109" s="12"/>
      <c r="K109" s="12"/>
      <c r="L109" s="12"/>
      <c r="M109" s="12"/>
      <c r="N109" s="12"/>
      <c r="O109" s="12"/>
      <c r="P109" s="12"/>
      <c r="Q109" s="12"/>
      <c r="R109" s="12"/>
      <c r="S109" s="12"/>
      <c r="T109" s="12"/>
      <c r="U109" s="12"/>
      <c r="V109" s="12"/>
      <c r="W109" s="12"/>
      <c r="X109" s="12"/>
      <c r="Y109" s="12"/>
      <c r="Z109" s="12"/>
      <c r="AA109" s="12"/>
      <c r="AB109" s="12"/>
      <c r="AC109" s="38"/>
    </row>
    <row r="110" ht="12.75" customHeight="1">
      <c r="B110" s="12"/>
      <c r="C110" s="104"/>
      <c r="D110" s="12"/>
      <c r="E110" s="12"/>
      <c r="F110" s="12"/>
      <c r="G110" s="12"/>
      <c r="H110" s="12"/>
      <c r="I110" s="12"/>
      <c r="J110" s="12"/>
      <c r="K110" s="12"/>
      <c r="L110" s="12"/>
      <c r="M110" s="12"/>
      <c r="N110" s="12"/>
      <c r="O110" s="12"/>
      <c r="P110" s="12"/>
      <c r="Q110" s="12"/>
      <c r="R110" s="12"/>
      <c r="S110" s="12"/>
      <c r="T110" s="12"/>
      <c r="U110" s="12"/>
      <c r="V110" s="12"/>
      <c r="W110" s="12"/>
      <c r="X110" s="12"/>
      <c r="Y110" s="12"/>
      <c r="Z110" s="12"/>
      <c r="AA110" s="12"/>
      <c r="AB110" s="12"/>
      <c r="AC110" s="38"/>
    </row>
    <row r="111" ht="12.75" customHeight="1">
      <c r="B111" s="12"/>
      <c r="C111" s="104"/>
      <c r="D111" s="12"/>
      <c r="E111" s="12"/>
      <c r="F111" s="12"/>
      <c r="G111" s="12"/>
      <c r="H111" s="12"/>
      <c r="I111" s="12"/>
      <c r="J111" s="12"/>
      <c r="K111" s="12"/>
      <c r="L111" s="12"/>
      <c r="M111" s="12"/>
      <c r="N111" s="12"/>
      <c r="O111" s="12"/>
      <c r="P111" s="12"/>
      <c r="Q111" s="12"/>
      <c r="R111" s="12"/>
      <c r="S111" s="12"/>
      <c r="T111" s="12"/>
      <c r="U111" s="12"/>
      <c r="V111" s="12"/>
      <c r="W111" s="12"/>
      <c r="X111" s="12"/>
      <c r="Y111" s="12"/>
      <c r="Z111" s="12"/>
      <c r="AA111" s="12"/>
      <c r="AB111" s="12"/>
      <c r="AC111" s="38"/>
    </row>
    <row r="112" ht="12.75" customHeight="1">
      <c r="B112" s="12"/>
      <c r="C112" s="104"/>
      <c r="D112" s="12"/>
      <c r="E112" s="12"/>
      <c r="F112" s="12"/>
      <c r="G112" s="12"/>
      <c r="H112" s="12"/>
      <c r="I112" s="12"/>
      <c r="J112" s="12"/>
      <c r="K112" s="12"/>
      <c r="L112" s="12"/>
      <c r="M112" s="12"/>
      <c r="N112" s="12"/>
      <c r="O112" s="12"/>
      <c r="P112" s="12"/>
      <c r="Q112" s="12"/>
      <c r="R112" s="12"/>
      <c r="S112" s="12"/>
      <c r="T112" s="12"/>
      <c r="U112" s="12"/>
      <c r="V112" s="12"/>
      <c r="W112" s="12"/>
      <c r="X112" s="12"/>
      <c r="Y112" s="12"/>
      <c r="Z112" s="12"/>
      <c r="AA112" s="12"/>
      <c r="AB112" s="12"/>
      <c r="AC112" s="38"/>
    </row>
    <row r="113" ht="12.75" customHeight="1">
      <c r="B113" s="12"/>
      <c r="C113" s="104"/>
      <c r="D113" s="12"/>
      <c r="E113" s="12"/>
      <c r="F113" s="12"/>
      <c r="G113" s="12"/>
      <c r="H113" s="12"/>
      <c r="I113" s="12"/>
      <c r="J113" s="12"/>
      <c r="K113" s="12"/>
      <c r="L113" s="12"/>
      <c r="M113" s="12"/>
      <c r="N113" s="12"/>
      <c r="O113" s="12"/>
      <c r="P113" s="12"/>
      <c r="Q113" s="12"/>
      <c r="R113" s="12"/>
      <c r="S113" s="12"/>
      <c r="T113" s="12"/>
      <c r="U113" s="12"/>
      <c r="V113" s="12"/>
      <c r="W113" s="12"/>
      <c r="X113" s="12"/>
      <c r="Y113" s="12"/>
      <c r="Z113" s="12"/>
      <c r="AA113" s="12"/>
      <c r="AB113" s="12"/>
      <c r="AC113" s="38"/>
    </row>
    <row r="114" ht="12.75" customHeight="1">
      <c r="B114" s="12"/>
      <c r="C114" s="104"/>
      <c r="D114" s="12"/>
      <c r="E114" s="12"/>
      <c r="F114" s="12"/>
      <c r="G114" s="12"/>
      <c r="H114" s="12"/>
      <c r="I114" s="12"/>
      <c r="J114" s="12"/>
      <c r="K114" s="12"/>
      <c r="L114" s="12"/>
      <c r="M114" s="12"/>
      <c r="N114" s="12"/>
      <c r="O114" s="12"/>
      <c r="P114" s="12"/>
      <c r="Q114" s="12"/>
      <c r="R114" s="12"/>
      <c r="S114" s="12"/>
      <c r="T114" s="12"/>
      <c r="U114" s="12"/>
      <c r="V114" s="12"/>
      <c r="W114" s="12"/>
      <c r="X114" s="12"/>
      <c r="Y114" s="12"/>
      <c r="Z114" s="12"/>
      <c r="AA114" s="12"/>
      <c r="AB114" s="12"/>
      <c r="AC114" s="38"/>
    </row>
    <row r="115" ht="12.75" customHeight="1">
      <c r="B115" s="12"/>
      <c r="C115" s="104"/>
      <c r="D115" s="12"/>
      <c r="E115" s="12"/>
      <c r="F115" s="12"/>
      <c r="G115" s="12"/>
      <c r="H115" s="12"/>
      <c r="I115" s="12"/>
      <c r="J115" s="12"/>
      <c r="K115" s="12"/>
      <c r="L115" s="12"/>
      <c r="M115" s="12"/>
      <c r="N115" s="12"/>
      <c r="O115" s="12"/>
      <c r="P115" s="12"/>
      <c r="Q115" s="12"/>
      <c r="R115" s="12"/>
      <c r="S115" s="12"/>
      <c r="T115" s="12"/>
      <c r="U115" s="12"/>
      <c r="V115" s="12"/>
      <c r="W115" s="12"/>
      <c r="X115" s="12"/>
      <c r="Y115" s="12"/>
      <c r="Z115" s="12"/>
      <c r="AA115" s="12"/>
      <c r="AB115" s="12"/>
      <c r="AC115" s="38"/>
    </row>
    <row r="116" ht="12.75" customHeight="1">
      <c r="B116" s="12"/>
      <c r="C116" s="104"/>
      <c r="D116" s="12"/>
      <c r="E116" s="12"/>
      <c r="F116" s="12"/>
      <c r="G116" s="12"/>
      <c r="H116" s="12"/>
      <c r="I116" s="12"/>
      <c r="J116" s="12"/>
      <c r="K116" s="12"/>
      <c r="L116" s="12"/>
      <c r="M116" s="12"/>
      <c r="N116" s="12"/>
      <c r="O116" s="12"/>
      <c r="P116" s="12"/>
      <c r="Q116" s="12"/>
      <c r="R116" s="12"/>
      <c r="S116" s="12"/>
      <c r="T116" s="12"/>
      <c r="U116" s="12"/>
      <c r="V116" s="12"/>
      <c r="W116" s="12"/>
      <c r="X116" s="12"/>
      <c r="Y116" s="12"/>
      <c r="Z116" s="12"/>
      <c r="AA116" s="12"/>
      <c r="AB116" s="12"/>
      <c r="AC116" s="38"/>
    </row>
    <row r="117" ht="12.75" customHeight="1">
      <c r="B117" s="12"/>
      <c r="C117" s="104"/>
      <c r="D117" s="12"/>
      <c r="E117" s="12"/>
      <c r="F117" s="12"/>
      <c r="G117" s="12"/>
      <c r="H117" s="12"/>
      <c r="I117" s="12"/>
      <c r="J117" s="12"/>
      <c r="K117" s="12"/>
      <c r="L117" s="12"/>
      <c r="M117" s="12"/>
      <c r="N117" s="12"/>
      <c r="O117" s="12"/>
      <c r="P117" s="12"/>
      <c r="Q117" s="12"/>
      <c r="R117" s="12"/>
      <c r="S117" s="12"/>
      <c r="T117" s="12"/>
      <c r="U117" s="12"/>
      <c r="V117" s="12"/>
      <c r="W117" s="12"/>
      <c r="X117" s="12"/>
      <c r="Y117" s="12"/>
      <c r="Z117" s="12"/>
      <c r="AA117" s="12"/>
      <c r="AB117" s="12"/>
      <c r="AC117" s="38"/>
    </row>
    <row r="118" ht="12.75" customHeight="1">
      <c r="B118" s="12"/>
      <c r="C118" s="104"/>
      <c r="D118" s="12"/>
      <c r="E118" s="12"/>
      <c r="F118" s="12"/>
      <c r="G118" s="12"/>
      <c r="H118" s="12"/>
      <c r="I118" s="12"/>
      <c r="J118" s="12"/>
      <c r="K118" s="12"/>
      <c r="L118" s="12"/>
      <c r="M118" s="12"/>
      <c r="N118" s="12"/>
      <c r="O118" s="12"/>
      <c r="P118" s="12"/>
      <c r="Q118" s="12"/>
      <c r="R118" s="12"/>
      <c r="S118" s="12"/>
      <c r="T118" s="12"/>
      <c r="U118" s="12"/>
      <c r="V118" s="12"/>
      <c r="W118" s="12"/>
      <c r="X118" s="12"/>
      <c r="Y118" s="12"/>
      <c r="Z118" s="12"/>
      <c r="AA118" s="12"/>
      <c r="AB118" s="12"/>
      <c r="AC118" s="38"/>
    </row>
    <row r="119" ht="12.75" customHeight="1">
      <c r="B119" s="12"/>
      <c r="C119" s="104"/>
      <c r="D119" s="12"/>
      <c r="E119" s="12"/>
      <c r="F119" s="12"/>
      <c r="G119" s="12"/>
      <c r="H119" s="12"/>
      <c r="I119" s="12"/>
      <c r="J119" s="12"/>
      <c r="K119" s="12"/>
      <c r="L119" s="12"/>
      <c r="M119" s="12"/>
      <c r="N119" s="12"/>
      <c r="O119" s="12"/>
      <c r="P119" s="12"/>
      <c r="Q119" s="12"/>
      <c r="R119" s="12"/>
      <c r="S119" s="12"/>
      <c r="T119" s="12"/>
      <c r="U119" s="12"/>
      <c r="V119" s="12"/>
      <c r="W119" s="12"/>
      <c r="X119" s="12"/>
      <c r="Y119" s="12"/>
      <c r="Z119" s="12"/>
      <c r="AA119" s="12"/>
      <c r="AB119" s="12"/>
      <c r="AC119" s="38"/>
    </row>
    <row r="120" ht="12.75" customHeight="1">
      <c r="B120" s="12"/>
      <c r="C120" s="104"/>
      <c r="D120" s="12"/>
      <c r="E120" s="12"/>
      <c r="F120" s="12"/>
      <c r="G120" s="12"/>
      <c r="H120" s="12"/>
      <c r="I120" s="12"/>
      <c r="J120" s="12"/>
      <c r="K120" s="12"/>
      <c r="L120" s="12"/>
      <c r="M120" s="12"/>
      <c r="N120" s="12"/>
      <c r="O120" s="12"/>
      <c r="P120" s="12"/>
      <c r="Q120" s="12"/>
      <c r="R120" s="12"/>
      <c r="S120" s="12"/>
      <c r="T120" s="12"/>
      <c r="U120" s="12"/>
      <c r="V120" s="12"/>
      <c r="W120" s="12"/>
      <c r="X120" s="12"/>
      <c r="Y120" s="12"/>
      <c r="Z120" s="12"/>
      <c r="AA120" s="12"/>
      <c r="AB120" s="12"/>
      <c r="AC120" s="38"/>
    </row>
    <row r="121" ht="12.75" customHeight="1">
      <c r="B121" s="12"/>
      <c r="C121" s="104"/>
      <c r="D121" s="12"/>
      <c r="E121" s="12"/>
      <c r="F121" s="12"/>
      <c r="G121" s="12"/>
      <c r="H121" s="12"/>
      <c r="I121" s="12"/>
      <c r="J121" s="12"/>
      <c r="K121" s="12"/>
      <c r="L121" s="12"/>
      <c r="M121" s="12"/>
      <c r="N121" s="12"/>
      <c r="O121" s="12"/>
      <c r="P121" s="12"/>
      <c r="Q121" s="12"/>
      <c r="R121" s="12"/>
      <c r="S121" s="12"/>
      <c r="T121" s="12"/>
      <c r="U121" s="12"/>
      <c r="V121" s="12"/>
      <c r="W121" s="12"/>
      <c r="X121" s="12"/>
      <c r="Y121" s="12"/>
      <c r="Z121" s="12"/>
      <c r="AA121" s="12"/>
      <c r="AB121" s="12"/>
      <c r="AC121" s="38"/>
    </row>
    <row r="122" ht="12.75" customHeight="1">
      <c r="B122" s="12"/>
      <c r="C122" s="104"/>
      <c r="D122" s="12"/>
      <c r="E122" s="12"/>
      <c r="F122" s="12"/>
      <c r="G122" s="12"/>
      <c r="H122" s="12"/>
      <c r="I122" s="12"/>
      <c r="J122" s="12"/>
      <c r="K122" s="12"/>
      <c r="L122" s="12"/>
      <c r="M122" s="12"/>
      <c r="N122" s="12"/>
      <c r="O122" s="12"/>
      <c r="P122" s="12"/>
      <c r="Q122" s="12"/>
      <c r="R122" s="12"/>
      <c r="S122" s="12"/>
      <c r="T122" s="12"/>
      <c r="U122" s="12"/>
      <c r="V122" s="12"/>
      <c r="W122" s="12"/>
      <c r="X122" s="12"/>
      <c r="Y122" s="12"/>
      <c r="Z122" s="12"/>
      <c r="AA122" s="12"/>
      <c r="AB122" s="12"/>
      <c r="AC122" s="38"/>
    </row>
    <row r="123" ht="12.75" customHeight="1">
      <c r="B123" s="12"/>
      <c r="C123" s="104"/>
      <c r="D123" s="12"/>
      <c r="E123" s="12"/>
      <c r="F123" s="12"/>
      <c r="G123" s="12"/>
      <c r="H123" s="12"/>
      <c r="I123" s="12"/>
      <c r="J123" s="12"/>
      <c r="K123" s="12"/>
      <c r="L123" s="12"/>
      <c r="M123" s="12"/>
      <c r="N123" s="12"/>
      <c r="O123" s="12"/>
      <c r="P123" s="12"/>
      <c r="Q123" s="12"/>
      <c r="R123" s="12"/>
      <c r="S123" s="12"/>
      <c r="T123" s="12"/>
      <c r="U123" s="12"/>
      <c r="V123" s="12"/>
      <c r="W123" s="12"/>
      <c r="X123" s="12"/>
      <c r="Y123" s="12"/>
      <c r="Z123" s="12"/>
      <c r="AA123" s="12"/>
      <c r="AB123" s="12"/>
      <c r="AC123" s="38"/>
    </row>
    <row r="124" ht="12.75" customHeight="1">
      <c r="B124" s="12"/>
      <c r="C124" s="104"/>
      <c r="D124" s="12"/>
      <c r="E124" s="12"/>
      <c r="F124" s="12"/>
      <c r="G124" s="12"/>
      <c r="H124" s="12"/>
      <c r="I124" s="12"/>
      <c r="J124" s="12"/>
      <c r="K124" s="12"/>
      <c r="L124" s="12"/>
      <c r="M124" s="12"/>
      <c r="N124" s="12"/>
      <c r="O124" s="12"/>
      <c r="P124" s="12"/>
      <c r="Q124" s="12"/>
      <c r="R124" s="12"/>
      <c r="S124" s="12"/>
      <c r="T124" s="12"/>
      <c r="U124" s="12"/>
      <c r="V124" s="12"/>
      <c r="W124" s="12"/>
      <c r="X124" s="12"/>
      <c r="Y124" s="12"/>
      <c r="Z124" s="12"/>
      <c r="AA124" s="12"/>
      <c r="AB124" s="12"/>
      <c r="AC124" s="38"/>
    </row>
    <row r="125" ht="12.75" customHeight="1">
      <c r="B125" s="12"/>
      <c r="C125" s="104"/>
      <c r="D125" s="12"/>
      <c r="E125" s="12"/>
      <c r="F125" s="12"/>
      <c r="G125" s="12"/>
      <c r="H125" s="12"/>
      <c r="I125" s="12"/>
      <c r="J125" s="12"/>
      <c r="K125" s="12"/>
      <c r="L125" s="12"/>
      <c r="M125" s="12"/>
      <c r="N125" s="12"/>
      <c r="O125" s="12"/>
      <c r="P125" s="12"/>
      <c r="Q125" s="12"/>
      <c r="R125" s="12"/>
      <c r="S125" s="12"/>
      <c r="T125" s="12"/>
      <c r="U125" s="12"/>
      <c r="V125" s="12"/>
      <c r="W125" s="12"/>
      <c r="X125" s="12"/>
      <c r="Y125" s="12"/>
      <c r="Z125" s="12"/>
      <c r="AA125" s="12"/>
      <c r="AB125" s="12"/>
      <c r="AC125" s="38"/>
    </row>
    <row r="126" ht="12.75" customHeight="1">
      <c r="B126" s="12"/>
      <c r="C126" s="104"/>
      <c r="D126" s="12"/>
      <c r="E126" s="12"/>
      <c r="F126" s="12"/>
      <c r="G126" s="12"/>
      <c r="H126" s="12"/>
      <c r="I126" s="12"/>
      <c r="J126" s="12"/>
      <c r="K126" s="12"/>
      <c r="L126" s="12"/>
      <c r="M126" s="12"/>
      <c r="N126" s="12"/>
      <c r="O126" s="12"/>
      <c r="P126" s="12"/>
      <c r="Q126" s="12"/>
      <c r="R126" s="12"/>
      <c r="S126" s="12"/>
      <c r="T126" s="12"/>
      <c r="U126" s="12"/>
      <c r="V126" s="12"/>
      <c r="W126" s="12"/>
      <c r="X126" s="12"/>
      <c r="Y126" s="12"/>
      <c r="Z126" s="12"/>
      <c r="AA126" s="12"/>
      <c r="AB126" s="12"/>
      <c r="AC126" s="38"/>
    </row>
    <row r="127" ht="12.75" customHeight="1">
      <c r="B127" s="12"/>
      <c r="C127" s="104"/>
      <c r="D127" s="12"/>
      <c r="E127" s="12"/>
      <c r="F127" s="12"/>
      <c r="G127" s="12"/>
      <c r="H127" s="12"/>
      <c r="I127" s="12"/>
      <c r="J127" s="12"/>
      <c r="K127" s="12"/>
      <c r="L127" s="12"/>
      <c r="M127" s="12"/>
      <c r="N127" s="12"/>
      <c r="O127" s="12"/>
      <c r="P127" s="12"/>
      <c r="Q127" s="12"/>
      <c r="R127" s="12"/>
      <c r="S127" s="12"/>
      <c r="T127" s="12"/>
      <c r="U127" s="12"/>
      <c r="V127" s="12"/>
      <c r="W127" s="12"/>
      <c r="X127" s="12"/>
      <c r="Y127" s="12"/>
      <c r="Z127" s="12"/>
      <c r="AA127" s="12"/>
      <c r="AB127" s="12"/>
      <c r="AC127" s="38"/>
    </row>
    <row r="128" ht="12.75" customHeight="1">
      <c r="B128" s="12"/>
      <c r="C128" s="104"/>
      <c r="D128" s="12"/>
      <c r="E128" s="12"/>
      <c r="F128" s="12"/>
      <c r="G128" s="12"/>
      <c r="H128" s="12"/>
      <c r="I128" s="12"/>
      <c r="J128" s="12"/>
      <c r="K128" s="12"/>
      <c r="L128" s="12"/>
      <c r="M128" s="12"/>
      <c r="N128" s="12"/>
      <c r="O128" s="12"/>
      <c r="P128" s="12"/>
      <c r="Q128" s="12"/>
      <c r="R128" s="12"/>
      <c r="S128" s="12"/>
      <c r="T128" s="12"/>
      <c r="U128" s="12"/>
      <c r="V128" s="12"/>
      <c r="W128" s="12"/>
      <c r="X128" s="12"/>
      <c r="Y128" s="12"/>
      <c r="Z128" s="12"/>
      <c r="AA128" s="12"/>
      <c r="AB128" s="12"/>
      <c r="AC128" s="38"/>
    </row>
    <row r="129" ht="12.75" customHeight="1">
      <c r="B129" s="12"/>
      <c r="C129" s="104"/>
      <c r="D129" s="12"/>
      <c r="E129" s="12"/>
      <c r="F129" s="12"/>
      <c r="G129" s="12"/>
      <c r="H129" s="12"/>
      <c r="I129" s="12"/>
      <c r="J129" s="12"/>
      <c r="K129" s="12"/>
      <c r="L129" s="12"/>
      <c r="M129" s="12"/>
      <c r="N129" s="12"/>
      <c r="O129" s="12"/>
      <c r="P129" s="12"/>
      <c r="Q129" s="12"/>
      <c r="R129" s="12"/>
      <c r="S129" s="12"/>
      <c r="T129" s="12"/>
      <c r="U129" s="12"/>
      <c r="V129" s="12"/>
      <c r="W129" s="12"/>
      <c r="X129" s="12"/>
      <c r="Y129" s="12"/>
      <c r="Z129" s="12"/>
      <c r="AA129" s="12"/>
      <c r="AB129" s="12"/>
      <c r="AC129" s="38"/>
    </row>
    <row r="130" ht="12.75" customHeight="1">
      <c r="B130" s="12"/>
      <c r="C130" s="104"/>
      <c r="D130" s="12"/>
      <c r="E130" s="12"/>
      <c r="F130" s="12"/>
      <c r="G130" s="12"/>
      <c r="H130" s="12"/>
      <c r="I130" s="12"/>
      <c r="J130" s="12"/>
      <c r="K130" s="12"/>
      <c r="L130" s="12"/>
      <c r="M130" s="12"/>
      <c r="N130" s="12"/>
      <c r="O130" s="12"/>
      <c r="P130" s="12"/>
      <c r="Q130" s="12"/>
      <c r="R130" s="12"/>
      <c r="S130" s="12"/>
      <c r="T130" s="12"/>
      <c r="U130" s="12"/>
      <c r="V130" s="12"/>
      <c r="W130" s="12"/>
      <c r="X130" s="12"/>
      <c r="Y130" s="12"/>
      <c r="Z130" s="12"/>
      <c r="AA130" s="12"/>
      <c r="AB130" s="12"/>
      <c r="AC130" s="38"/>
    </row>
    <row r="131" ht="12.75" customHeight="1">
      <c r="B131" s="12"/>
      <c r="C131" s="104"/>
      <c r="D131" s="12"/>
      <c r="E131" s="12"/>
      <c r="F131" s="12"/>
      <c r="G131" s="12"/>
      <c r="H131" s="12"/>
      <c r="I131" s="12"/>
      <c r="J131" s="12"/>
      <c r="K131" s="12"/>
      <c r="L131" s="12"/>
      <c r="M131" s="12"/>
      <c r="N131" s="12"/>
      <c r="O131" s="12"/>
      <c r="P131" s="12"/>
      <c r="Q131" s="12"/>
      <c r="R131" s="12"/>
      <c r="S131" s="12"/>
      <c r="T131" s="12"/>
      <c r="U131" s="12"/>
      <c r="V131" s="12"/>
      <c r="W131" s="12"/>
      <c r="X131" s="12"/>
      <c r="Y131" s="12"/>
      <c r="Z131" s="12"/>
      <c r="AA131" s="12"/>
      <c r="AB131" s="12"/>
      <c r="AC131" s="38"/>
    </row>
    <row r="132" ht="12.75" customHeight="1">
      <c r="B132" s="12"/>
      <c r="C132" s="104"/>
      <c r="D132" s="12"/>
      <c r="E132" s="12"/>
      <c r="F132" s="12"/>
      <c r="G132" s="12"/>
      <c r="H132" s="12"/>
      <c r="I132" s="12"/>
      <c r="J132" s="12"/>
      <c r="K132" s="12"/>
      <c r="L132" s="12"/>
      <c r="M132" s="12"/>
      <c r="N132" s="12"/>
      <c r="O132" s="12"/>
      <c r="P132" s="12"/>
      <c r="Q132" s="12"/>
      <c r="R132" s="12"/>
      <c r="S132" s="12"/>
      <c r="T132" s="12"/>
      <c r="U132" s="12"/>
      <c r="V132" s="12"/>
      <c r="W132" s="12"/>
      <c r="X132" s="12"/>
      <c r="Y132" s="12"/>
      <c r="Z132" s="12"/>
      <c r="AA132" s="12"/>
      <c r="AB132" s="12"/>
      <c r="AC132" s="38"/>
    </row>
    <row r="133" ht="12.75" customHeight="1">
      <c r="B133" s="12"/>
      <c r="C133" s="104"/>
      <c r="D133" s="12"/>
      <c r="E133" s="12"/>
      <c r="F133" s="12"/>
      <c r="G133" s="12"/>
      <c r="H133" s="12"/>
      <c r="I133" s="12"/>
      <c r="J133" s="12"/>
      <c r="K133" s="12"/>
      <c r="L133" s="12"/>
      <c r="M133" s="12"/>
      <c r="N133" s="12"/>
      <c r="O133" s="12"/>
      <c r="P133" s="12"/>
      <c r="Q133" s="12"/>
      <c r="R133" s="12"/>
      <c r="S133" s="12"/>
      <c r="T133" s="12"/>
      <c r="U133" s="12"/>
      <c r="V133" s="12"/>
      <c r="W133" s="12"/>
      <c r="X133" s="12"/>
      <c r="Y133" s="12"/>
      <c r="Z133" s="12"/>
      <c r="AA133" s="12"/>
      <c r="AB133" s="12"/>
      <c r="AC133" s="38"/>
    </row>
    <row r="134" ht="12.75" customHeight="1">
      <c r="B134" s="12"/>
      <c r="C134" s="104"/>
      <c r="D134" s="12"/>
      <c r="E134" s="12"/>
      <c r="F134" s="12"/>
      <c r="G134" s="12"/>
      <c r="H134" s="12"/>
      <c r="I134" s="12"/>
      <c r="J134" s="12"/>
      <c r="K134" s="12"/>
      <c r="L134" s="12"/>
      <c r="M134" s="12"/>
      <c r="N134" s="12"/>
      <c r="O134" s="12"/>
      <c r="P134" s="12"/>
      <c r="Q134" s="12"/>
      <c r="R134" s="12"/>
      <c r="S134" s="12"/>
      <c r="T134" s="12"/>
      <c r="U134" s="12"/>
      <c r="V134" s="12"/>
      <c r="W134" s="12"/>
      <c r="X134" s="12"/>
      <c r="Y134" s="12"/>
      <c r="Z134" s="12"/>
      <c r="AA134" s="12"/>
      <c r="AB134" s="12"/>
      <c r="AC134" s="38"/>
    </row>
    <row r="135" ht="12.75" customHeight="1">
      <c r="B135" s="12"/>
      <c r="C135" s="104"/>
      <c r="D135" s="12"/>
      <c r="E135" s="12"/>
      <c r="F135" s="12"/>
      <c r="G135" s="12"/>
      <c r="H135" s="12"/>
      <c r="I135" s="12"/>
      <c r="J135" s="12"/>
      <c r="K135" s="12"/>
      <c r="L135" s="12"/>
      <c r="M135" s="12"/>
      <c r="N135" s="12"/>
      <c r="O135" s="12"/>
      <c r="P135" s="12"/>
      <c r="Q135" s="12"/>
      <c r="R135" s="12"/>
      <c r="S135" s="12"/>
      <c r="T135" s="12"/>
      <c r="U135" s="12"/>
      <c r="V135" s="12"/>
      <c r="W135" s="12"/>
      <c r="X135" s="12"/>
      <c r="Y135" s="12"/>
      <c r="Z135" s="12"/>
      <c r="AA135" s="12"/>
      <c r="AB135" s="12"/>
      <c r="AC135" s="38"/>
    </row>
    <row r="136" ht="12.75" customHeight="1">
      <c r="B136" s="12"/>
      <c r="C136" s="104"/>
      <c r="D136" s="12"/>
      <c r="E136" s="12"/>
      <c r="F136" s="12"/>
      <c r="G136" s="12"/>
      <c r="H136" s="12"/>
      <c r="I136" s="12"/>
      <c r="J136" s="12"/>
      <c r="K136" s="12"/>
      <c r="L136" s="12"/>
      <c r="M136" s="12"/>
      <c r="N136" s="12"/>
      <c r="O136" s="12"/>
      <c r="P136" s="12"/>
      <c r="Q136" s="12"/>
      <c r="R136" s="12"/>
      <c r="S136" s="12"/>
      <c r="T136" s="12"/>
      <c r="U136" s="12"/>
      <c r="V136" s="12"/>
      <c r="W136" s="12"/>
      <c r="X136" s="12"/>
      <c r="Y136" s="12"/>
      <c r="Z136" s="12"/>
      <c r="AA136" s="12"/>
      <c r="AB136" s="12"/>
      <c r="AC136" s="38"/>
    </row>
    <row r="137" ht="12.75" customHeight="1">
      <c r="B137" s="12"/>
      <c r="C137" s="104"/>
      <c r="D137" s="12"/>
      <c r="E137" s="12"/>
      <c r="F137" s="12"/>
      <c r="G137" s="12"/>
      <c r="H137" s="12"/>
      <c r="I137" s="12"/>
      <c r="J137" s="12"/>
      <c r="K137" s="12"/>
      <c r="L137" s="12"/>
      <c r="M137" s="12"/>
      <c r="N137" s="12"/>
      <c r="O137" s="12"/>
      <c r="P137" s="12"/>
      <c r="Q137" s="12"/>
      <c r="R137" s="12"/>
      <c r="S137" s="12"/>
      <c r="T137" s="12"/>
      <c r="U137" s="12"/>
      <c r="V137" s="12"/>
      <c r="W137" s="12"/>
      <c r="X137" s="12"/>
      <c r="Y137" s="12"/>
      <c r="Z137" s="12"/>
      <c r="AA137" s="12"/>
      <c r="AB137" s="12"/>
      <c r="AC137" s="38"/>
    </row>
    <row r="138" ht="12.75" customHeight="1">
      <c r="B138" s="12"/>
      <c r="C138" s="104"/>
      <c r="D138" s="12"/>
      <c r="E138" s="12"/>
      <c r="F138" s="12"/>
      <c r="G138" s="12"/>
      <c r="H138" s="12"/>
      <c r="I138" s="12"/>
      <c r="J138" s="12"/>
      <c r="K138" s="12"/>
      <c r="L138" s="12"/>
      <c r="M138" s="12"/>
      <c r="N138" s="12"/>
      <c r="O138" s="12"/>
      <c r="P138" s="12"/>
      <c r="Q138" s="12"/>
      <c r="R138" s="12"/>
      <c r="S138" s="12"/>
      <c r="T138" s="12"/>
      <c r="U138" s="12"/>
      <c r="V138" s="12"/>
      <c r="W138" s="12"/>
      <c r="X138" s="12"/>
      <c r="Y138" s="12"/>
      <c r="Z138" s="12"/>
      <c r="AA138" s="12"/>
      <c r="AB138" s="12"/>
      <c r="AC138" s="38"/>
    </row>
    <row r="139" ht="12.75" customHeight="1">
      <c r="B139" s="12"/>
      <c r="C139" s="104"/>
      <c r="D139" s="12"/>
      <c r="E139" s="12"/>
      <c r="F139" s="12"/>
      <c r="G139" s="12"/>
      <c r="H139" s="12"/>
      <c r="I139" s="12"/>
      <c r="J139" s="12"/>
      <c r="K139" s="12"/>
      <c r="L139" s="12"/>
      <c r="M139" s="12"/>
      <c r="N139" s="12"/>
      <c r="O139" s="12"/>
      <c r="P139" s="12"/>
      <c r="Q139" s="12"/>
      <c r="R139" s="12"/>
      <c r="S139" s="12"/>
      <c r="T139" s="12"/>
      <c r="U139" s="12"/>
      <c r="V139" s="12"/>
      <c r="W139" s="12"/>
      <c r="X139" s="12"/>
      <c r="Y139" s="12"/>
      <c r="Z139" s="12"/>
      <c r="AA139" s="12"/>
      <c r="AB139" s="12"/>
      <c r="AC139" s="38"/>
    </row>
    <row r="140" ht="12.75" customHeight="1">
      <c r="B140" s="12"/>
      <c r="C140" s="104"/>
      <c r="D140" s="12"/>
      <c r="E140" s="12"/>
      <c r="F140" s="12"/>
      <c r="G140" s="12"/>
      <c r="H140" s="12"/>
      <c r="I140" s="12"/>
      <c r="J140" s="12"/>
      <c r="K140" s="12"/>
      <c r="L140" s="12"/>
      <c r="M140" s="12"/>
      <c r="N140" s="12"/>
      <c r="O140" s="12"/>
      <c r="P140" s="12"/>
      <c r="Q140" s="12"/>
      <c r="R140" s="12"/>
      <c r="S140" s="12"/>
      <c r="T140" s="12"/>
      <c r="U140" s="12"/>
      <c r="V140" s="12"/>
      <c r="W140" s="12"/>
      <c r="X140" s="12"/>
      <c r="Y140" s="12"/>
      <c r="Z140" s="12"/>
      <c r="AA140" s="12"/>
      <c r="AB140" s="12"/>
      <c r="AC140" s="38"/>
    </row>
    <row r="141" ht="12.75" customHeight="1">
      <c r="B141" s="12"/>
      <c r="C141" s="104"/>
      <c r="D141" s="12"/>
      <c r="E141" s="12"/>
      <c r="F141" s="12"/>
      <c r="G141" s="12"/>
      <c r="H141" s="12"/>
      <c r="I141" s="12"/>
      <c r="J141" s="12"/>
      <c r="K141" s="12"/>
      <c r="L141" s="12"/>
      <c r="M141" s="12"/>
      <c r="N141" s="12"/>
      <c r="O141" s="12"/>
      <c r="P141" s="12"/>
      <c r="Q141" s="12"/>
      <c r="R141" s="12"/>
      <c r="S141" s="12"/>
      <c r="T141" s="12"/>
      <c r="U141" s="12"/>
      <c r="V141" s="12"/>
      <c r="W141" s="12"/>
      <c r="X141" s="12"/>
      <c r="Y141" s="12"/>
      <c r="Z141" s="12"/>
      <c r="AA141" s="12"/>
      <c r="AB141" s="12"/>
      <c r="AC141" s="38"/>
    </row>
    <row r="142" ht="12.75" customHeight="1">
      <c r="B142" s="12"/>
      <c r="C142" s="104"/>
      <c r="D142" s="12"/>
      <c r="E142" s="12"/>
      <c r="F142" s="12"/>
      <c r="G142" s="12"/>
      <c r="H142" s="12"/>
      <c r="I142" s="12"/>
      <c r="J142" s="12"/>
      <c r="K142" s="12"/>
      <c r="L142" s="12"/>
      <c r="M142" s="12"/>
      <c r="N142" s="12"/>
      <c r="O142" s="12"/>
      <c r="P142" s="12"/>
      <c r="Q142" s="12"/>
      <c r="R142" s="12"/>
      <c r="S142" s="12"/>
      <c r="T142" s="12"/>
      <c r="U142" s="12"/>
      <c r="V142" s="12"/>
      <c r="W142" s="12"/>
      <c r="X142" s="12"/>
      <c r="Y142" s="12"/>
      <c r="Z142" s="12"/>
      <c r="AA142" s="12"/>
      <c r="AB142" s="12"/>
      <c r="AC142" s="38"/>
    </row>
    <row r="143" ht="12.75" customHeight="1">
      <c r="B143" s="12"/>
      <c r="C143" s="104"/>
      <c r="D143" s="12"/>
      <c r="E143" s="12"/>
      <c r="F143" s="12"/>
      <c r="G143" s="12"/>
      <c r="H143" s="12"/>
      <c r="I143" s="12"/>
      <c r="J143" s="12"/>
      <c r="K143" s="12"/>
      <c r="L143" s="12"/>
      <c r="M143" s="12"/>
      <c r="N143" s="12"/>
      <c r="O143" s="12"/>
      <c r="P143" s="12"/>
      <c r="Q143" s="12"/>
      <c r="R143" s="12"/>
      <c r="S143" s="12"/>
      <c r="T143" s="12"/>
      <c r="U143" s="12"/>
      <c r="V143" s="12"/>
      <c r="W143" s="12"/>
      <c r="X143" s="12"/>
      <c r="Y143" s="12"/>
      <c r="Z143" s="12"/>
      <c r="AA143" s="12"/>
      <c r="AB143" s="12"/>
      <c r="AC143" s="38"/>
    </row>
    <row r="144" ht="12.75" customHeight="1">
      <c r="B144" s="12"/>
      <c r="C144" s="104"/>
      <c r="D144" s="12"/>
      <c r="E144" s="12"/>
      <c r="F144" s="12"/>
      <c r="G144" s="12"/>
      <c r="H144" s="12"/>
      <c r="I144" s="12"/>
      <c r="J144" s="12"/>
      <c r="K144" s="12"/>
      <c r="L144" s="12"/>
      <c r="M144" s="12"/>
      <c r="N144" s="12"/>
      <c r="O144" s="12"/>
      <c r="P144" s="12"/>
      <c r="Q144" s="12"/>
      <c r="R144" s="12"/>
      <c r="S144" s="12"/>
      <c r="T144" s="12"/>
      <c r="U144" s="12"/>
      <c r="V144" s="12"/>
      <c r="W144" s="12"/>
      <c r="X144" s="12"/>
      <c r="Y144" s="12"/>
      <c r="Z144" s="12"/>
      <c r="AA144" s="12"/>
      <c r="AB144" s="12"/>
      <c r="AC144" s="38"/>
    </row>
    <row r="145" ht="12.75" customHeight="1">
      <c r="B145" s="12"/>
      <c r="C145" s="104"/>
      <c r="D145" s="12"/>
      <c r="E145" s="12"/>
      <c r="F145" s="12"/>
      <c r="G145" s="12"/>
      <c r="H145" s="12"/>
      <c r="I145" s="12"/>
      <c r="J145" s="12"/>
      <c r="K145" s="12"/>
      <c r="L145" s="12"/>
      <c r="M145" s="12"/>
      <c r="N145" s="12"/>
      <c r="O145" s="12"/>
      <c r="P145" s="12"/>
      <c r="Q145" s="12"/>
      <c r="R145" s="12"/>
      <c r="S145" s="12"/>
      <c r="T145" s="12"/>
      <c r="U145" s="12"/>
      <c r="V145" s="12"/>
      <c r="W145" s="12"/>
      <c r="X145" s="12"/>
      <c r="Y145" s="12"/>
      <c r="Z145" s="12"/>
      <c r="AA145" s="12"/>
      <c r="AB145" s="12"/>
      <c r="AC145" s="38"/>
    </row>
    <row r="146" ht="12.75" customHeight="1">
      <c r="B146" s="12"/>
      <c r="C146" s="104"/>
      <c r="D146" s="12"/>
      <c r="E146" s="12"/>
      <c r="F146" s="12"/>
      <c r="G146" s="12"/>
      <c r="H146" s="12"/>
      <c r="I146" s="12"/>
      <c r="J146" s="12"/>
      <c r="K146" s="12"/>
      <c r="L146" s="12"/>
      <c r="M146" s="12"/>
      <c r="N146" s="12"/>
      <c r="O146" s="12"/>
      <c r="P146" s="12"/>
      <c r="Q146" s="12"/>
      <c r="R146" s="12"/>
      <c r="S146" s="12"/>
      <c r="T146" s="12"/>
      <c r="U146" s="12"/>
      <c r="V146" s="12"/>
      <c r="W146" s="12"/>
      <c r="X146" s="12"/>
      <c r="Y146" s="12"/>
      <c r="Z146" s="12"/>
      <c r="AA146" s="12"/>
      <c r="AB146" s="12"/>
      <c r="AC146" s="38"/>
    </row>
    <row r="147" ht="12.75" customHeight="1">
      <c r="B147" s="12"/>
      <c r="C147" s="104"/>
      <c r="D147" s="12"/>
      <c r="E147" s="12"/>
      <c r="F147" s="12"/>
      <c r="G147" s="12"/>
      <c r="H147" s="12"/>
      <c r="I147" s="12"/>
      <c r="J147" s="12"/>
      <c r="K147" s="12"/>
      <c r="L147" s="12"/>
      <c r="M147" s="12"/>
      <c r="N147" s="12"/>
      <c r="O147" s="12"/>
      <c r="P147" s="12"/>
      <c r="Q147" s="12"/>
      <c r="R147" s="12"/>
      <c r="S147" s="12"/>
      <c r="T147" s="12"/>
      <c r="U147" s="12"/>
      <c r="V147" s="12"/>
      <c r="W147" s="12"/>
      <c r="X147" s="12"/>
      <c r="Y147" s="12"/>
      <c r="Z147" s="12"/>
      <c r="AA147" s="12"/>
      <c r="AB147" s="12"/>
      <c r="AC147" s="38"/>
    </row>
    <row r="148" ht="12.75" customHeight="1">
      <c r="B148" s="12"/>
      <c r="C148" s="104"/>
      <c r="D148" s="12"/>
      <c r="E148" s="12"/>
      <c r="F148" s="12"/>
      <c r="G148" s="12"/>
      <c r="H148" s="12"/>
      <c r="I148" s="12"/>
      <c r="J148" s="12"/>
      <c r="K148" s="12"/>
      <c r="L148" s="12"/>
      <c r="M148" s="12"/>
      <c r="N148" s="12"/>
      <c r="O148" s="12"/>
      <c r="P148" s="12"/>
      <c r="Q148" s="12"/>
      <c r="R148" s="12"/>
      <c r="S148" s="12"/>
      <c r="T148" s="12"/>
      <c r="U148" s="12"/>
      <c r="V148" s="12"/>
      <c r="W148" s="12"/>
      <c r="X148" s="12"/>
      <c r="Y148" s="12"/>
      <c r="Z148" s="12"/>
      <c r="AA148" s="12"/>
      <c r="AB148" s="12"/>
      <c r="AC148" s="38"/>
    </row>
    <row r="149" ht="12.75" customHeight="1">
      <c r="B149" s="12"/>
      <c r="C149" s="104"/>
      <c r="D149" s="12"/>
      <c r="E149" s="12"/>
      <c r="F149" s="12"/>
      <c r="G149" s="12"/>
      <c r="H149" s="12"/>
      <c r="I149" s="12"/>
      <c r="J149" s="12"/>
      <c r="K149" s="12"/>
      <c r="L149" s="12"/>
      <c r="M149" s="12"/>
      <c r="N149" s="12"/>
      <c r="O149" s="12"/>
      <c r="P149" s="12"/>
      <c r="Q149" s="12"/>
      <c r="R149" s="12"/>
      <c r="S149" s="12"/>
      <c r="T149" s="12"/>
      <c r="U149" s="12"/>
      <c r="V149" s="12"/>
      <c r="W149" s="12"/>
      <c r="X149" s="12"/>
      <c r="Y149" s="12"/>
      <c r="Z149" s="12"/>
      <c r="AA149" s="12"/>
      <c r="AB149" s="12"/>
      <c r="AC149" s="38"/>
    </row>
    <row r="150" ht="12.75" customHeight="1">
      <c r="B150" s="12"/>
      <c r="C150" s="104"/>
      <c r="D150" s="12"/>
      <c r="E150" s="12"/>
      <c r="F150" s="12"/>
      <c r="G150" s="12"/>
      <c r="H150" s="12"/>
      <c r="I150" s="12"/>
      <c r="J150" s="12"/>
      <c r="K150" s="12"/>
      <c r="L150" s="12"/>
      <c r="M150" s="12"/>
      <c r="N150" s="12"/>
      <c r="O150" s="12"/>
      <c r="P150" s="12"/>
      <c r="Q150" s="12"/>
      <c r="R150" s="12"/>
      <c r="S150" s="12"/>
      <c r="T150" s="12"/>
      <c r="U150" s="12"/>
      <c r="V150" s="12"/>
      <c r="W150" s="12"/>
      <c r="X150" s="12"/>
      <c r="Y150" s="12"/>
      <c r="Z150" s="12"/>
      <c r="AA150" s="12"/>
      <c r="AB150" s="12"/>
      <c r="AC150" s="38"/>
    </row>
    <row r="151" ht="12.75" customHeight="1">
      <c r="B151" s="12"/>
      <c r="C151" s="104"/>
      <c r="D151" s="12"/>
      <c r="E151" s="12"/>
      <c r="F151" s="12"/>
      <c r="G151" s="12"/>
      <c r="H151" s="12"/>
      <c r="I151" s="12"/>
      <c r="J151" s="12"/>
      <c r="K151" s="12"/>
      <c r="L151" s="12"/>
      <c r="M151" s="12"/>
      <c r="N151" s="12"/>
      <c r="O151" s="12"/>
      <c r="P151" s="12"/>
      <c r="Q151" s="12"/>
      <c r="R151" s="12"/>
      <c r="S151" s="12"/>
      <c r="T151" s="12"/>
      <c r="U151" s="12"/>
      <c r="V151" s="12"/>
      <c r="W151" s="12"/>
      <c r="X151" s="12"/>
      <c r="Y151" s="12"/>
      <c r="Z151" s="12"/>
      <c r="AA151" s="12"/>
      <c r="AB151" s="12"/>
      <c r="AC151" s="38"/>
    </row>
    <row r="152" ht="12.75" customHeight="1">
      <c r="B152" s="12"/>
      <c r="C152" s="104"/>
      <c r="D152" s="12"/>
      <c r="E152" s="12"/>
      <c r="F152" s="12"/>
      <c r="G152" s="12"/>
      <c r="H152" s="12"/>
      <c r="I152" s="12"/>
      <c r="J152" s="12"/>
      <c r="K152" s="12"/>
      <c r="L152" s="12"/>
      <c r="M152" s="12"/>
      <c r="N152" s="12"/>
      <c r="O152" s="12"/>
      <c r="P152" s="12"/>
      <c r="Q152" s="12"/>
      <c r="R152" s="12"/>
      <c r="S152" s="12"/>
      <c r="T152" s="12"/>
      <c r="U152" s="12"/>
      <c r="V152" s="12"/>
      <c r="W152" s="12"/>
      <c r="X152" s="12"/>
      <c r="Y152" s="12"/>
      <c r="Z152" s="12"/>
      <c r="AA152" s="12"/>
      <c r="AB152" s="12"/>
      <c r="AC152" s="38"/>
    </row>
    <row r="153" ht="12.75" customHeight="1">
      <c r="B153" s="12"/>
      <c r="C153" s="104"/>
      <c r="D153" s="12"/>
      <c r="E153" s="12"/>
      <c r="F153" s="12"/>
      <c r="G153" s="12"/>
      <c r="H153" s="12"/>
      <c r="I153" s="12"/>
      <c r="J153" s="12"/>
      <c r="K153" s="12"/>
      <c r="L153" s="12"/>
      <c r="M153" s="12"/>
      <c r="N153" s="12"/>
      <c r="O153" s="12"/>
      <c r="P153" s="12"/>
      <c r="Q153" s="12"/>
      <c r="R153" s="12"/>
      <c r="S153" s="12"/>
      <c r="T153" s="12"/>
      <c r="U153" s="12"/>
      <c r="V153" s="12"/>
      <c r="W153" s="12"/>
      <c r="X153" s="12"/>
      <c r="Y153" s="12"/>
      <c r="Z153" s="12"/>
      <c r="AA153" s="12"/>
      <c r="AB153" s="12"/>
      <c r="AC153" s="38"/>
    </row>
    <row r="154" ht="12.75" customHeight="1">
      <c r="B154" s="12"/>
      <c r="C154" s="104"/>
      <c r="D154" s="12"/>
      <c r="E154" s="12"/>
      <c r="F154" s="12"/>
      <c r="G154" s="12"/>
      <c r="H154" s="12"/>
      <c r="I154" s="12"/>
      <c r="J154" s="12"/>
      <c r="K154" s="12"/>
      <c r="L154" s="12"/>
      <c r="M154" s="12"/>
      <c r="N154" s="12"/>
      <c r="O154" s="12"/>
      <c r="P154" s="12"/>
      <c r="Q154" s="12"/>
      <c r="R154" s="12"/>
      <c r="S154" s="12"/>
      <c r="T154" s="12"/>
      <c r="U154" s="12"/>
      <c r="V154" s="12"/>
      <c r="W154" s="12"/>
      <c r="X154" s="12"/>
      <c r="Y154" s="12"/>
      <c r="Z154" s="12"/>
      <c r="AA154" s="12"/>
      <c r="AB154" s="12"/>
      <c r="AC154" s="38"/>
    </row>
    <row r="155" ht="12.75" customHeight="1">
      <c r="B155" s="12"/>
      <c r="C155" s="104"/>
      <c r="D155" s="12"/>
      <c r="E155" s="12"/>
      <c r="F155" s="12"/>
      <c r="G155" s="12"/>
      <c r="H155" s="12"/>
      <c r="I155" s="12"/>
      <c r="J155" s="12"/>
      <c r="K155" s="12"/>
      <c r="L155" s="12"/>
      <c r="M155" s="12"/>
      <c r="N155" s="12"/>
      <c r="O155" s="12"/>
      <c r="P155" s="12"/>
      <c r="Q155" s="12"/>
      <c r="R155" s="12"/>
      <c r="S155" s="12"/>
      <c r="T155" s="12"/>
      <c r="U155" s="12"/>
      <c r="V155" s="12"/>
      <c r="W155" s="12"/>
      <c r="X155" s="12"/>
      <c r="Y155" s="12"/>
      <c r="Z155" s="12"/>
      <c r="AA155" s="12"/>
      <c r="AB155" s="12"/>
      <c r="AC155" s="38"/>
    </row>
    <row r="156" ht="12.75" customHeight="1">
      <c r="B156" s="12"/>
      <c r="C156" s="104"/>
      <c r="D156" s="12"/>
      <c r="E156" s="12"/>
      <c r="F156" s="12"/>
      <c r="G156" s="12"/>
      <c r="H156" s="12"/>
      <c r="I156" s="12"/>
      <c r="J156" s="12"/>
      <c r="K156" s="12"/>
      <c r="L156" s="12"/>
      <c r="M156" s="12"/>
      <c r="N156" s="12"/>
      <c r="O156" s="12"/>
      <c r="P156" s="12"/>
      <c r="Q156" s="12"/>
      <c r="R156" s="12"/>
      <c r="S156" s="12"/>
      <c r="T156" s="12"/>
      <c r="U156" s="12"/>
      <c r="V156" s="12"/>
      <c r="W156" s="12"/>
      <c r="X156" s="12"/>
      <c r="Y156" s="12"/>
      <c r="Z156" s="12"/>
      <c r="AA156" s="12"/>
      <c r="AB156" s="12"/>
      <c r="AC156" s="38"/>
    </row>
    <row r="157" ht="12.75" customHeight="1">
      <c r="B157" s="12"/>
      <c r="C157" s="104"/>
      <c r="D157" s="12"/>
      <c r="E157" s="12"/>
      <c r="F157" s="12"/>
      <c r="G157" s="12"/>
      <c r="H157" s="12"/>
      <c r="I157" s="12"/>
      <c r="J157" s="12"/>
      <c r="K157" s="12"/>
      <c r="L157" s="12"/>
      <c r="M157" s="12"/>
      <c r="N157" s="12"/>
      <c r="O157" s="12"/>
      <c r="P157" s="12"/>
      <c r="Q157" s="12"/>
      <c r="R157" s="12"/>
      <c r="S157" s="12"/>
      <c r="T157" s="12"/>
      <c r="U157" s="12"/>
      <c r="V157" s="12"/>
      <c r="W157" s="12"/>
      <c r="X157" s="12"/>
      <c r="Y157" s="12"/>
      <c r="Z157" s="12"/>
      <c r="AA157" s="12"/>
      <c r="AB157" s="12"/>
      <c r="AC157" s="38"/>
    </row>
    <row r="158" ht="12.75" customHeight="1">
      <c r="B158" s="12"/>
      <c r="C158" s="104"/>
      <c r="D158" s="12"/>
      <c r="E158" s="12"/>
      <c r="F158" s="12"/>
      <c r="G158" s="12"/>
      <c r="H158" s="12"/>
      <c r="I158" s="12"/>
      <c r="J158" s="12"/>
      <c r="K158" s="12"/>
      <c r="L158" s="12"/>
      <c r="M158" s="12"/>
      <c r="N158" s="12"/>
      <c r="O158" s="12"/>
      <c r="P158" s="12"/>
      <c r="Q158" s="12"/>
      <c r="R158" s="12"/>
      <c r="S158" s="12"/>
      <c r="T158" s="12"/>
      <c r="U158" s="12"/>
      <c r="V158" s="12"/>
      <c r="W158" s="12"/>
      <c r="X158" s="12"/>
      <c r="Y158" s="12"/>
      <c r="Z158" s="12"/>
      <c r="AA158" s="12"/>
      <c r="AB158" s="12"/>
      <c r="AC158" s="38"/>
    </row>
    <row r="159" ht="12.75" customHeight="1">
      <c r="B159" s="12"/>
      <c r="C159" s="104"/>
      <c r="D159" s="12"/>
      <c r="E159" s="12"/>
      <c r="F159" s="12"/>
      <c r="G159" s="12"/>
      <c r="H159" s="12"/>
      <c r="I159" s="12"/>
      <c r="J159" s="12"/>
      <c r="K159" s="12"/>
      <c r="L159" s="12"/>
      <c r="M159" s="12"/>
      <c r="N159" s="12"/>
      <c r="O159" s="12"/>
      <c r="P159" s="12"/>
      <c r="Q159" s="12"/>
      <c r="R159" s="12"/>
      <c r="S159" s="12"/>
      <c r="T159" s="12"/>
      <c r="U159" s="12"/>
      <c r="V159" s="12"/>
      <c r="W159" s="12"/>
      <c r="X159" s="12"/>
      <c r="Y159" s="12"/>
      <c r="Z159" s="12"/>
      <c r="AA159" s="12"/>
      <c r="AB159" s="12"/>
      <c r="AC159" s="38"/>
    </row>
    <row r="160" ht="12.75" customHeight="1">
      <c r="B160" s="12"/>
      <c r="C160" s="104"/>
      <c r="D160" s="12"/>
      <c r="E160" s="12"/>
      <c r="F160" s="12"/>
      <c r="G160" s="12"/>
      <c r="H160" s="12"/>
      <c r="I160" s="12"/>
      <c r="J160" s="12"/>
      <c r="K160" s="12"/>
      <c r="L160" s="12"/>
      <c r="M160" s="12"/>
      <c r="N160" s="12"/>
      <c r="O160" s="12"/>
      <c r="P160" s="12"/>
      <c r="Q160" s="12"/>
      <c r="R160" s="12"/>
      <c r="S160" s="12"/>
      <c r="T160" s="12"/>
      <c r="U160" s="12"/>
      <c r="V160" s="12"/>
      <c r="W160" s="12"/>
      <c r="X160" s="12"/>
      <c r="Y160" s="12"/>
      <c r="Z160" s="12"/>
      <c r="AA160" s="12"/>
      <c r="AB160" s="12"/>
      <c r="AC160" s="38"/>
    </row>
    <row r="161" ht="12.75" customHeight="1">
      <c r="B161" s="12"/>
      <c r="C161" s="104"/>
      <c r="D161" s="12"/>
      <c r="E161" s="12"/>
      <c r="F161" s="12"/>
      <c r="G161" s="12"/>
      <c r="H161" s="12"/>
      <c r="I161" s="12"/>
      <c r="J161" s="12"/>
      <c r="K161" s="12"/>
      <c r="L161" s="12"/>
      <c r="M161" s="12"/>
      <c r="N161" s="12"/>
      <c r="O161" s="12"/>
      <c r="P161" s="12"/>
      <c r="Q161" s="12"/>
      <c r="R161" s="12"/>
      <c r="S161" s="12"/>
      <c r="T161" s="12"/>
      <c r="U161" s="12"/>
      <c r="V161" s="12"/>
      <c r="W161" s="12"/>
      <c r="X161" s="12"/>
      <c r="Y161" s="12"/>
      <c r="Z161" s="12"/>
      <c r="AA161" s="12"/>
      <c r="AB161" s="12"/>
      <c r="AC161" s="38"/>
    </row>
    <row r="162" ht="12.75" customHeight="1">
      <c r="B162" s="12"/>
      <c r="C162" s="104"/>
      <c r="D162" s="12"/>
      <c r="E162" s="12"/>
      <c r="F162" s="12"/>
      <c r="G162" s="12"/>
      <c r="H162" s="12"/>
      <c r="I162" s="12"/>
      <c r="J162" s="12"/>
      <c r="K162" s="12"/>
      <c r="L162" s="12"/>
      <c r="M162" s="12"/>
      <c r="N162" s="12"/>
      <c r="O162" s="12"/>
      <c r="P162" s="12"/>
      <c r="Q162" s="12"/>
      <c r="R162" s="12"/>
      <c r="S162" s="12"/>
      <c r="T162" s="12"/>
      <c r="U162" s="12"/>
      <c r="V162" s="12"/>
      <c r="W162" s="12"/>
      <c r="X162" s="12"/>
      <c r="Y162" s="12"/>
      <c r="Z162" s="12"/>
      <c r="AA162" s="12"/>
      <c r="AB162" s="12"/>
      <c r="AC162" s="38"/>
    </row>
    <row r="163" ht="12.75" customHeight="1">
      <c r="B163" s="12"/>
      <c r="C163" s="104"/>
      <c r="D163" s="12"/>
      <c r="E163" s="12"/>
      <c r="F163" s="12"/>
      <c r="G163" s="12"/>
      <c r="H163" s="12"/>
      <c r="I163" s="12"/>
      <c r="J163" s="12"/>
      <c r="K163" s="12"/>
      <c r="L163" s="12"/>
      <c r="M163" s="12"/>
      <c r="N163" s="12"/>
      <c r="O163" s="12"/>
      <c r="P163" s="12"/>
      <c r="Q163" s="12"/>
      <c r="R163" s="12"/>
      <c r="S163" s="12"/>
      <c r="T163" s="12"/>
      <c r="U163" s="12"/>
      <c r="V163" s="12"/>
      <c r="W163" s="12"/>
      <c r="X163" s="12"/>
      <c r="Y163" s="12"/>
      <c r="Z163" s="12"/>
      <c r="AA163" s="12"/>
      <c r="AB163" s="12"/>
      <c r="AC163" s="38"/>
    </row>
    <row r="164" ht="12.75" customHeight="1">
      <c r="B164" s="12"/>
      <c r="C164" s="104"/>
      <c r="D164" s="12"/>
      <c r="E164" s="12"/>
      <c r="F164" s="12"/>
      <c r="G164" s="12"/>
      <c r="H164" s="12"/>
      <c r="I164" s="12"/>
      <c r="J164" s="12"/>
      <c r="K164" s="12"/>
      <c r="L164" s="12"/>
      <c r="M164" s="12"/>
      <c r="N164" s="12"/>
      <c r="O164" s="12"/>
      <c r="P164" s="12"/>
      <c r="Q164" s="12"/>
      <c r="R164" s="12"/>
      <c r="S164" s="12"/>
      <c r="T164" s="12"/>
      <c r="U164" s="12"/>
      <c r="V164" s="12"/>
      <c r="W164" s="12"/>
      <c r="X164" s="12"/>
      <c r="Y164" s="12"/>
      <c r="Z164" s="12"/>
      <c r="AA164" s="12"/>
      <c r="AB164" s="12"/>
      <c r="AC164" s="38"/>
    </row>
    <row r="165" ht="12.75" customHeight="1">
      <c r="B165" s="12"/>
      <c r="C165" s="104"/>
      <c r="D165" s="12"/>
      <c r="E165" s="12"/>
      <c r="F165" s="12"/>
      <c r="G165" s="12"/>
      <c r="H165" s="12"/>
      <c r="I165" s="12"/>
      <c r="J165" s="12"/>
      <c r="K165" s="12"/>
      <c r="L165" s="12"/>
      <c r="M165" s="12"/>
      <c r="N165" s="12"/>
      <c r="O165" s="12"/>
      <c r="P165" s="12"/>
      <c r="Q165" s="12"/>
      <c r="R165" s="12"/>
      <c r="S165" s="12"/>
      <c r="T165" s="12"/>
      <c r="U165" s="12"/>
      <c r="V165" s="12"/>
      <c r="W165" s="12"/>
      <c r="X165" s="12"/>
      <c r="Y165" s="12"/>
      <c r="Z165" s="12"/>
      <c r="AA165" s="12"/>
      <c r="AB165" s="12"/>
      <c r="AC165" s="38"/>
    </row>
    <row r="166" ht="12.75" customHeight="1">
      <c r="B166" s="12"/>
      <c r="C166" s="104"/>
      <c r="D166" s="12"/>
      <c r="E166" s="12"/>
      <c r="F166" s="12"/>
      <c r="G166" s="12"/>
      <c r="H166" s="12"/>
      <c r="I166" s="12"/>
      <c r="J166" s="12"/>
      <c r="K166" s="12"/>
      <c r="L166" s="12"/>
      <c r="M166" s="12"/>
      <c r="N166" s="12"/>
      <c r="O166" s="12"/>
      <c r="P166" s="12"/>
      <c r="Q166" s="12"/>
      <c r="R166" s="12"/>
      <c r="S166" s="12"/>
      <c r="T166" s="12"/>
      <c r="U166" s="12"/>
      <c r="V166" s="12"/>
      <c r="W166" s="12"/>
      <c r="X166" s="12"/>
      <c r="Y166" s="12"/>
      <c r="Z166" s="12"/>
      <c r="AA166" s="12"/>
      <c r="AB166" s="12"/>
      <c r="AC166" s="38"/>
    </row>
    <row r="167" ht="12.75" customHeight="1">
      <c r="B167" s="12"/>
      <c r="C167" s="104"/>
      <c r="D167" s="12"/>
      <c r="E167" s="12"/>
      <c r="F167" s="12"/>
      <c r="G167" s="12"/>
      <c r="H167" s="12"/>
      <c r="I167" s="12"/>
      <c r="J167" s="12"/>
      <c r="K167" s="12"/>
      <c r="L167" s="12"/>
      <c r="M167" s="12"/>
      <c r="N167" s="12"/>
      <c r="O167" s="12"/>
      <c r="P167" s="12"/>
      <c r="Q167" s="12"/>
      <c r="R167" s="12"/>
      <c r="S167" s="12"/>
      <c r="T167" s="12"/>
      <c r="U167" s="12"/>
      <c r="V167" s="12"/>
      <c r="W167" s="12"/>
      <c r="X167" s="12"/>
      <c r="Y167" s="12"/>
      <c r="Z167" s="12"/>
      <c r="AA167" s="12"/>
      <c r="AB167" s="12"/>
      <c r="AC167" s="38"/>
    </row>
    <row r="168" ht="12.75" customHeight="1">
      <c r="B168" s="12"/>
      <c r="C168" s="104"/>
      <c r="D168" s="12"/>
      <c r="E168" s="12"/>
      <c r="F168" s="12"/>
      <c r="G168" s="12"/>
      <c r="H168" s="12"/>
      <c r="I168" s="12"/>
      <c r="J168" s="12"/>
      <c r="K168" s="12"/>
      <c r="L168" s="12"/>
      <c r="M168" s="12"/>
      <c r="N168" s="12"/>
      <c r="O168" s="12"/>
      <c r="P168" s="12"/>
      <c r="Q168" s="12"/>
      <c r="R168" s="12"/>
      <c r="S168" s="12"/>
      <c r="T168" s="12"/>
      <c r="U168" s="12"/>
      <c r="V168" s="12"/>
      <c r="W168" s="12"/>
      <c r="X168" s="12"/>
      <c r="Y168" s="12"/>
      <c r="Z168" s="12"/>
      <c r="AA168" s="12"/>
      <c r="AB168" s="12"/>
      <c r="AC168" s="38"/>
    </row>
    <row r="169" ht="12.75" customHeight="1">
      <c r="B169" s="12"/>
      <c r="C169" s="104"/>
      <c r="D169" s="12"/>
      <c r="E169" s="12"/>
      <c r="F169" s="12"/>
      <c r="G169" s="12"/>
      <c r="H169" s="12"/>
      <c r="I169" s="12"/>
      <c r="J169" s="12"/>
      <c r="K169" s="12"/>
      <c r="L169" s="12"/>
      <c r="M169" s="12"/>
      <c r="N169" s="12"/>
      <c r="O169" s="12"/>
      <c r="P169" s="12"/>
      <c r="Q169" s="12"/>
      <c r="R169" s="12"/>
      <c r="S169" s="12"/>
      <c r="T169" s="12"/>
      <c r="U169" s="12"/>
      <c r="V169" s="12"/>
      <c r="W169" s="12"/>
      <c r="X169" s="12"/>
      <c r="Y169" s="12"/>
      <c r="Z169" s="12"/>
      <c r="AA169" s="12"/>
      <c r="AB169" s="12"/>
      <c r="AC169" s="38"/>
    </row>
    <row r="170" ht="12.75" customHeight="1">
      <c r="B170" s="12"/>
      <c r="C170" s="104"/>
      <c r="D170" s="12"/>
      <c r="E170" s="12"/>
      <c r="F170" s="12"/>
      <c r="G170" s="12"/>
      <c r="H170" s="12"/>
      <c r="I170" s="12"/>
      <c r="J170" s="12"/>
      <c r="K170" s="12"/>
      <c r="L170" s="12"/>
      <c r="M170" s="12"/>
      <c r="N170" s="12"/>
      <c r="O170" s="12"/>
      <c r="P170" s="12"/>
      <c r="Q170" s="12"/>
      <c r="R170" s="12"/>
      <c r="S170" s="12"/>
      <c r="T170" s="12"/>
      <c r="U170" s="12"/>
      <c r="V170" s="12"/>
      <c r="W170" s="12"/>
      <c r="X170" s="12"/>
      <c r="Y170" s="12"/>
      <c r="Z170" s="12"/>
      <c r="AA170" s="12"/>
      <c r="AB170" s="12"/>
      <c r="AC170" s="38"/>
    </row>
    <row r="171" ht="12.75" customHeight="1">
      <c r="B171" s="12"/>
      <c r="C171" s="104"/>
      <c r="D171" s="12"/>
      <c r="E171" s="12"/>
      <c r="F171" s="12"/>
      <c r="G171" s="12"/>
      <c r="H171" s="12"/>
      <c r="I171" s="12"/>
      <c r="J171" s="12"/>
      <c r="K171" s="12"/>
      <c r="L171" s="12"/>
      <c r="M171" s="12"/>
      <c r="N171" s="12"/>
      <c r="O171" s="12"/>
      <c r="P171" s="12"/>
      <c r="Q171" s="12"/>
      <c r="R171" s="12"/>
      <c r="S171" s="12"/>
      <c r="T171" s="12"/>
      <c r="U171" s="12"/>
      <c r="V171" s="12"/>
      <c r="W171" s="12"/>
      <c r="X171" s="12"/>
      <c r="Y171" s="12"/>
      <c r="Z171" s="12"/>
      <c r="AA171" s="12"/>
      <c r="AB171" s="12"/>
      <c r="AC171" s="38"/>
    </row>
    <row r="172" ht="12.75" customHeight="1">
      <c r="B172" s="12"/>
      <c r="C172" s="104"/>
      <c r="D172" s="12"/>
      <c r="E172" s="12"/>
      <c r="F172" s="12"/>
      <c r="G172" s="12"/>
      <c r="H172" s="12"/>
      <c r="I172" s="12"/>
      <c r="J172" s="12"/>
      <c r="K172" s="12"/>
      <c r="L172" s="12"/>
      <c r="M172" s="12"/>
      <c r="N172" s="12"/>
      <c r="O172" s="12"/>
      <c r="P172" s="12"/>
      <c r="Q172" s="12"/>
      <c r="R172" s="12"/>
      <c r="S172" s="12"/>
      <c r="T172" s="12"/>
      <c r="U172" s="12"/>
      <c r="V172" s="12"/>
      <c r="W172" s="12"/>
      <c r="X172" s="12"/>
      <c r="Y172" s="12"/>
      <c r="Z172" s="12"/>
      <c r="AA172" s="12"/>
      <c r="AB172" s="12"/>
      <c r="AC172" s="38"/>
    </row>
    <row r="173" ht="12.75" customHeight="1">
      <c r="B173" s="12"/>
      <c r="C173" s="104"/>
      <c r="D173" s="12"/>
      <c r="E173" s="12"/>
      <c r="F173" s="12"/>
      <c r="G173" s="12"/>
      <c r="H173" s="12"/>
      <c r="I173" s="12"/>
      <c r="J173" s="12"/>
      <c r="K173" s="12"/>
      <c r="L173" s="12"/>
      <c r="M173" s="12"/>
      <c r="N173" s="12"/>
      <c r="O173" s="12"/>
      <c r="P173" s="12"/>
      <c r="Q173" s="12"/>
      <c r="R173" s="12"/>
      <c r="S173" s="12"/>
      <c r="T173" s="12"/>
      <c r="U173" s="12"/>
      <c r="V173" s="12"/>
      <c r="W173" s="12"/>
      <c r="X173" s="12"/>
      <c r="Y173" s="12"/>
      <c r="Z173" s="12"/>
      <c r="AA173" s="12"/>
      <c r="AB173" s="12"/>
      <c r="AC173" s="38"/>
    </row>
    <row r="174" ht="12.75" customHeight="1">
      <c r="B174" s="12"/>
      <c r="C174" s="104"/>
      <c r="D174" s="12"/>
      <c r="E174" s="12"/>
      <c r="F174" s="12"/>
      <c r="G174" s="12"/>
      <c r="H174" s="12"/>
      <c r="I174" s="12"/>
      <c r="J174" s="12"/>
      <c r="K174" s="12"/>
      <c r="L174" s="12"/>
      <c r="M174" s="12"/>
      <c r="N174" s="12"/>
      <c r="O174" s="12"/>
      <c r="P174" s="12"/>
      <c r="Q174" s="12"/>
      <c r="R174" s="12"/>
      <c r="S174" s="12"/>
      <c r="T174" s="12"/>
      <c r="U174" s="12"/>
      <c r="V174" s="12"/>
      <c r="W174" s="12"/>
      <c r="X174" s="12"/>
      <c r="Y174" s="12"/>
      <c r="Z174" s="12"/>
      <c r="AA174" s="12"/>
      <c r="AB174" s="12"/>
      <c r="AC174" s="38"/>
    </row>
    <row r="175" ht="12.75" customHeight="1">
      <c r="B175" s="12"/>
      <c r="C175" s="104"/>
      <c r="D175" s="12"/>
      <c r="E175" s="12"/>
      <c r="F175" s="12"/>
      <c r="G175" s="12"/>
      <c r="H175" s="12"/>
      <c r="I175" s="12"/>
      <c r="J175" s="12"/>
      <c r="K175" s="12"/>
      <c r="L175" s="12"/>
      <c r="M175" s="12"/>
      <c r="N175" s="12"/>
      <c r="O175" s="12"/>
      <c r="P175" s="12"/>
      <c r="Q175" s="12"/>
      <c r="R175" s="12"/>
      <c r="S175" s="12"/>
      <c r="T175" s="12"/>
      <c r="U175" s="12"/>
      <c r="V175" s="12"/>
      <c r="W175" s="12"/>
      <c r="X175" s="12"/>
      <c r="Y175" s="12"/>
      <c r="Z175" s="12"/>
      <c r="AA175" s="12"/>
      <c r="AB175" s="12"/>
      <c r="AC175" s="38"/>
    </row>
    <row r="176" ht="12.75" customHeight="1">
      <c r="B176" s="12"/>
      <c r="C176" s="104"/>
      <c r="D176" s="12"/>
      <c r="E176" s="12"/>
      <c r="F176" s="12"/>
      <c r="G176" s="12"/>
      <c r="H176" s="12"/>
      <c r="I176" s="12"/>
      <c r="J176" s="12"/>
      <c r="K176" s="12"/>
      <c r="L176" s="12"/>
      <c r="M176" s="12"/>
      <c r="N176" s="12"/>
      <c r="O176" s="12"/>
      <c r="P176" s="12"/>
      <c r="Q176" s="12"/>
      <c r="R176" s="12"/>
      <c r="S176" s="12"/>
      <c r="T176" s="12"/>
      <c r="U176" s="12"/>
      <c r="V176" s="12"/>
      <c r="W176" s="12"/>
      <c r="X176" s="12"/>
      <c r="Y176" s="12"/>
      <c r="Z176" s="12"/>
      <c r="AA176" s="12"/>
      <c r="AB176" s="12"/>
      <c r="AC176" s="38"/>
    </row>
    <row r="177" ht="12.75" customHeight="1">
      <c r="B177" s="12"/>
      <c r="C177" s="104"/>
      <c r="D177" s="12"/>
      <c r="E177" s="12"/>
      <c r="F177" s="12"/>
      <c r="G177" s="12"/>
      <c r="H177" s="12"/>
      <c r="I177" s="12"/>
      <c r="J177" s="12"/>
      <c r="K177" s="12"/>
      <c r="L177" s="12"/>
      <c r="M177" s="12"/>
      <c r="N177" s="12"/>
      <c r="O177" s="12"/>
      <c r="P177" s="12"/>
      <c r="Q177" s="12"/>
      <c r="R177" s="12"/>
      <c r="S177" s="12"/>
      <c r="T177" s="12"/>
      <c r="U177" s="12"/>
      <c r="V177" s="12"/>
      <c r="W177" s="12"/>
      <c r="X177" s="12"/>
      <c r="Y177" s="12"/>
      <c r="Z177" s="12"/>
      <c r="AA177" s="12"/>
      <c r="AB177" s="12"/>
      <c r="AC177" s="38"/>
    </row>
    <row r="178" ht="12.75" customHeight="1">
      <c r="B178" s="12"/>
      <c r="C178" s="104"/>
      <c r="D178" s="12"/>
      <c r="E178" s="12"/>
      <c r="F178" s="12"/>
      <c r="G178" s="12"/>
      <c r="H178" s="12"/>
      <c r="I178" s="12"/>
      <c r="J178" s="12"/>
      <c r="K178" s="12"/>
      <c r="L178" s="12"/>
      <c r="M178" s="12"/>
      <c r="N178" s="12"/>
      <c r="O178" s="12"/>
      <c r="P178" s="12"/>
      <c r="Q178" s="12"/>
      <c r="R178" s="12"/>
      <c r="S178" s="12"/>
      <c r="T178" s="12"/>
      <c r="U178" s="12"/>
      <c r="V178" s="12"/>
      <c r="W178" s="12"/>
      <c r="X178" s="12"/>
      <c r="Y178" s="12"/>
      <c r="Z178" s="12"/>
      <c r="AA178" s="12"/>
      <c r="AB178" s="12"/>
      <c r="AC178" s="38"/>
    </row>
    <row r="179" ht="12.75" customHeight="1">
      <c r="B179" s="12"/>
      <c r="C179" s="104"/>
      <c r="D179" s="12"/>
      <c r="E179" s="12"/>
      <c r="F179" s="12"/>
      <c r="G179" s="12"/>
      <c r="H179" s="12"/>
      <c r="I179" s="12"/>
      <c r="J179" s="12"/>
      <c r="K179" s="12"/>
      <c r="L179" s="12"/>
      <c r="M179" s="12"/>
      <c r="N179" s="12"/>
      <c r="O179" s="12"/>
      <c r="P179" s="12"/>
      <c r="Q179" s="12"/>
      <c r="R179" s="12"/>
      <c r="S179" s="12"/>
      <c r="T179" s="12"/>
      <c r="U179" s="12"/>
      <c r="V179" s="12"/>
      <c r="W179" s="12"/>
      <c r="X179" s="12"/>
      <c r="Y179" s="12"/>
      <c r="Z179" s="12"/>
      <c r="AA179" s="12"/>
      <c r="AB179" s="12"/>
      <c r="AC179" s="38"/>
    </row>
    <row r="180" ht="12.75" customHeight="1">
      <c r="B180" s="12"/>
      <c r="C180" s="104"/>
      <c r="D180" s="12"/>
      <c r="E180" s="12"/>
      <c r="F180" s="12"/>
      <c r="G180" s="12"/>
      <c r="H180" s="12"/>
      <c r="I180" s="12"/>
      <c r="J180" s="12"/>
      <c r="K180" s="12"/>
      <c r="L180" s="12"/>
      <c r="M180" s="12"/>
      <c r="N180" s="12"/>
      <c r="O180" s="12"/>
      <c r="P180" s="12"/>
      <c r="Q180" s="12"/>
      <c r="R180" s="12"/>
      <c r="S180" s="12"/>
      <c r="T180" s="12"/>
      <c r="U180" s="12"/>
      <c r="V180" s="12"/>
      <c r="W180" s="12"/>
      <c r="X180" s="12"/>
      <c r="Y180" s="12"/>
      <c r="Z180" s="12"/>
      <c r="AA180" s="12"/>
      <c r="AB180" s="12"/>
      <c r="AC180" s="38"/>
    </row>
    <row r="181" ht="12.75" customHeight="1">
      <c r="B181" s="12"/>
      <c r="C181" s="104"/>
      <c r="D181" s="12"/>
      <c r="E181" s="12"/>
      <c r="F181" s="12"/>
      <c r="G181" s="12"/>
      <c r="H181" s="12"/>
      <c r="I181" s="12"/>
      <c r="J181" s="12"/>
      <c r="K181" s="12"/>
      <c r="L181" s="12"/>
      <c r="M181" s="12"/>
      <c r="N181" s="12"/>
      <c r="O181" s="12"/>
      <c r="P181" s="12"/>
      <c r="Q181" s="12"/>
      <c r="R181" s="12"/>
      <c r="S181" s="12"/>
      <c r="T181" s="12"/>
      <c r="U181" s="12"/>
      <c r="V181" s="12"/>
      <c r="W181" s="12"/>
      <c r="X181" s="12"/>
      <c r="Y181" s="12"/>
      <c r="Z181" s="12"/>
      <c r="AA181" s="12"/>
      <c r="AB181" s="12"/>
      <c r="AC181" s="38"/>
    </row>
    <row r="182" ht="12.75" customHeight="1">
      <c r="B182" s="12"/>
      <c r="C182" s="104"/>
      <c r="D182" s="12"/>
      <c r="E182" s="12"/>
      <c r="F182" s="12"/>
      <c r="G182" s="12"/>
      <c r="H182" s="12"/>
      <c r="I182" s="12"/>
      <c r="J182" s="12"/>
      <c r="K182" s="12"/>
      <c r="L182" s="12"/>
      <c r="M182" s="12"/>
      <c r="N182" s="12"/>
      <c r="O182" s="12"/>
      <c r="P182" s="12"/>
      <c r="Q182" s="12"/>
      <c r="R182" s="12"/>
      <c r="S182" s="12"/>
      <c r="T182" s="12"/>
      <c r="U182" s="12"/>
      <c r="V182" s="12"/>
      <c r="W182" s="12"/>
      <c r="X182" s="12"/>
      <c r="Y182" s="12"/>
      <c r="Z182" s="12"/>
      <c r="AA182" s="12"/>
      <c r="AB182" s="12"/>
      <c r="AC182" s="38"/>
    </row>
    <row r="183" ht="12.75" customHeight="1">
      <c r="B183" s="12"/>
      <c r="C183" s="104"/>
      <c r="D183" s="12"/>
      <c r="E183" s="12"/>
      <c r="F183" s="12"/>
      <c r="G183" s="12"/>
      <c r="H183" s="12"/>
      <c r="I183" s="12"/>
      <c r="J183" s="12"/>
      <c r="K183" s="12"/>
      <c r="L183" s="12"/>
      <c r="M183" s="12"/>
      <c r="N183" s="12"/>
      <c r="O183" s="12"/>
      <c r="P183" s="12"/>
      <c r="Q183" s="12"/>
      <c r="R183" s="12"/>
      <c r="S183" s="12"/>
      <c r="T183" s="12"/>
      <c r="U183" s="12"/>
      <c r="V183" s="12"/>
      <c r="W183" s="12"/>
      <c r="X183" s="12"/>
      <c r="Y183" s="12"/>
      <c r="Z183" s="12"/>
      <c r="AA183" s="12"/>
      <c r="AB183" s="12"/>
      <c r="AC183" s="38"/>
    </row>
    <row r="184" ht="12.75" customHeight="1">
      <c r="B184" s="12"/>
      <c r="C184" s="104"/>
      <c r="D184" s="12"/>
      <c r="E184" s="12"/>
      <c r="F184" s="12"/>
      <c r="G184" s="12"/>
      <c r="H184" s="12"/>
      <c r="I184" s="12"/>
      <c r="J184" s="12"/>
      <c r="K184" s="12"/>
      <c r="L184" s="12"/>
      <c r="M184" s="12"/>
      <c r="N184" s="12"/>
      <c r="O184" s="12"/>
      <c r="P184" s="12"/>
      <c r="Q184" s="12"/>
      <c r="R184" s="12"/>
      <c r="S184" s="12"/>
      <c r="T184" s="12"/>
      <c r="U184" s="12"/>
      <c r="V184" s="12"/>
      <c r="W184" s="12"/>
      <c r="X184" s="12"/>
      <c r="Y184" s="12"/>
      <c r="Z184" s="12"/>
      <c r="AA184" s="12"/>
      <c r="AB184" s="12"/>
      <c r="AC184" s="38"/>
    </row>
    <row r="185" ht="12.75" customHeight="1">
      <c r="B185" s="12"/>
      <c r="C185" s="104"/>
      <c r="D185" s="12"/>
      <c r="E185" s="12"/>
      <c r="F185" s="12"/>
      <c r="G185" s="12"/>
      <c r="H185" s="12"/>
      <c r="I185" s="12"/>
      <c r="J185" s="12"/>
      <c r="K185" s="12"/>
      <c r="L185" s="12"/>
      <c r="M185" s="12"/>
      <c r="N185" s="12"/>
      <c r="O185" s="12"/>
      <c r="P185" s="12"/>
      <c r="Q185" s="12"/>
      <c r="R185" s="12"/>
      <c r="S185" s="12"/>
      <c r="T185" s="12"/>
      <c r="U185" s="12"/>
      <c r="V185" s="12"/>
      <c r="W185" s="12"/>
      <c r="X185" s="12"/>
      <c r="Y185" s="12"/>
      <c r="Z185" s="12"/>
      <c r="AA185" s="12"/>
      <c r="AB185" s="12"/>
      <c r="AC185" s="38"/>
    </row>
    <row r="186" ht="12.75" customHeight="1">
      <c r="B186" s="12"/>
      <c r="C186" s="104"/>
      <c r="D186" s="12"/>
      <c r="E186" s="12"/>
      <c r="F186" s="12"/>
      <c r="G186" s="12"/>
      <c r="H186" s="12"/>
      <c r="I186" s="12"/>
      <c r="J186" s="12"/>
      <c r="K186" s="12"/>
      <c r="L186" s="12"/>
      <c r="M186" s="12"/>
      <c r="N186" s="12"/>
      <c r="O186" s="12"/>
      <c r="P186" s="12"/>
      <c r="Q186" s="12"/>
      <c r="R186" s="12"/>
      <c r="S186" s="12"/>
      <c r="T186" s="12"/>
      <c r="U186" s="12"/>
      <c r="V186" s="12"/>
      <c r="W186" s="12"/>
      <c r="X186" s="12"/>
      <c r="Y186" s="12"/>
      <c r="Z186" s="12"/>
      <c r="AA186" s="12"/>
      <c r="AB186" s="12"/>
      <c r="AC186" s="38"/>
    </row>
    <row r="187" ht="12.75" customHeight="1">
      <c r="B187" s="12"/>
      <c r="C187" s="104"/>
      <c r="D187" s="12"/>
      <c r="E187" s="12"/>
      <c r="F187" s="12"/>
      <c r="G187" s="12"/>
      <c r="H187" s="12"/>
      <c r="I187" s="12"/>
      <c r="J187" s="12"/>
      <c r="K187" s="12"/>
      <c r="L187" s="12"/>
      <c r="M187" s="12"/>
      <c r="N187" s="12"/>
      <c r="O187" s="12"/>
      <c r="P187" s="12"/>
      <c r="Q187" s="12"/>
      <c r="R187" s="12"/>
      <c r="S187" s="12"/>
      <c r="T187" s="12"/>
      <c r="U187" s="12"/>
      <c r="V187" s="12"/>
      <c r="W187" s="12"/>
      <c r="X187" s="12"/>
      <c r="Y187" s="12"/>
      <c r="Z187" s="12"/>
      <c r="AA187" s="12"/>
      <c r="AB187" s="12"/>
      <c r="AC187" s="38"/>
    </row>
    <row r="188" ht="12.75" customHeight="1">
      <c r="B188" s="12"/>
      <c r="C188" s="104"/>
      <c r="D188" s="12"/>
      <c r="E188" s="12"/>
      <c r="F188" s="12"/>
      <c r="G188" s="12"/>
      <c r="H188" s="12"/>
      <c r="I188" s="12"/>
      <c r="J188" s="12"/>
      <c r="K188" s="12"/>
      <c r="L188" s="12"/>
      <c r="M188" s="12"/>
      <c r="N188" s="12"/>
      <c r="O188" s="12"/>
      <c r="P188" s="12"/>
      <c r="Q188" s="12"/>
      <c r="R188" s="12"/>
      <c r="S188" s="12"/>
      <c r="T188" s="12"/>
      <c r="U188" s="12"/>
      <c r="V188" s="12"/>
      <c r="W188" s="12"/>
      <c r="X188" s="12"/>
      <c r="Y188" s="12"/>
      <c r="Z188" s="12"/>
      <c r="AA188" s="12"/>
      <c r="AB188" s="12"/>
      <c r="AC188" s="38"/>
    </row>
    <row r="189" ht="12.75" customHeight="1">
      <c r="B189" s="12"/>
      <c r="C189" s="104"/>
      <c r="D189" s="12"/>
      <c r="E189" s="12"/>
      <c r="F189" s="12"/>
      <c r="G189" s="12"/>
      <c r="H189" s="12"/>
      <c r="I189" s="12"/>
      <c r="J189" s="12"/>
      <c r="K189" s="12"/>
      <c r="L189" s="12"/>
      <c r="M189" s="12"/>
      <c r="N189" s="12"/>
      <c r="O189" s="12"/>
      <c r="P189" s="12"/>
      <c r="Q189" s="12"/>
      <c r="R189" s="12"/>
      <c r="S189" s="12"/>
      <c r="T189" s="12"/>
      <c r="U189" s="12"/>
      <c r="V189" s="12"/>
      <c r="W189" s="12"/>
      <c r="X189" s="12"/>
      <c r="Y189" s="12"/>
      <c r="Z189" s="12"/>
      <c r="AA189" s="12"/>
      <c r="AB189" s="12"/>
      <c r="AC189" s="38"/>
    </row>
    <row r="190" ht="12.75" customHeight="1">
      <c r="B190" s="12"/>
      <c r="C190" s="104"/>
      <c r="D190" s="12"/>
      <c r="E190" s="12"/>
      <c r="F190" s="12"/>
      <c r="G190" s="12"/>
      <c r="H190" s="12"/>
      <c r="I190" s="12"/>
      <c r="J190" s="12"/>
      <c r="K190" s="12"/>
      <c r="L190" s="12"/>
      <c r="M190" s="12"/>
      <c r="N190" s="12"/>
      <c r="O190" s="12"/>
      <c r="P190" s="12"/>
      <c r="Q190" s="12"/>
      <c r="R190" s="12"/>
      <c r="S190" s="12"/>
      <c r="T190" s="12"/>
      <c r="U190" s="12"/>
      <c r="V190" s="12"/>
      <c r="W190" s="12"/>
      <c r="X190" s="12"/>
      <c r="Y190" s="12"/>
      <c r="Z190" s="12"/>
      <c r="AA190" s="12"/>
      <c r="AB190" s="12"/>
      <c r="AC190" s="38"/>
    </row>
    <row r="191" ht="12.75" customHeight="1">
      <c r="B191" s="12"/>
      <c r="C191" s="104"/>
      <c r="D191" s="12"/>
      <c r="E191" s="12"/>
      <c r="F191" s="12"/>
      <c r="G191" s="12"/>
      <c r="H191" s="12"/>
      <c r="I191" s="12"/>
      <c r="J191" s="12"/>
      <c r="K191" s="12"/>
      <c r="L191" s="12"/>
      <c r="M191" s="12"/>
      <c r="N191" s="12"/>
      <c r="O191" s="12"/>
      <c r="P191" s="12"/>
      <c r="Q191" s="12"/>
      <c r="R191" s="12"/>
      <c r="S191" s="12"/>
      <c r="T191" s="12"/>
      <c r="U191" s="12"/>
      <c r="V191" s="12"/>
      <c r="W191" s="12"/>
      <c r="X191" s="12"/>
      <c r="Y191" s="12"/>
      <c r="Z191" s="12"/>
      <c r="AA191" s="12"/>
      <c r="AB191" s="12"/>
      <c r="AC191" s="38"/>
    </row>
    <row r="192" ht="12.75" customHeight="1">
      <c r="B192" s="12"/>
      <c r="C192" s="104"/>
      <c r="D192" s="12"/>
      <c r="E192" s="12"/>
      <c r="F192" s="12"/>
      <c r="G192" s="12"/>
      <c r="H192" s="12"/>
      <c r="I192" s="12"/>
      <c r="J192" s="12"/>
      <c r="K192" s="12"/>
      <c r="L192" s="12"/>
      <c r="M192" s="12"/>
      <c r="N192" s="12"/>
      <c r="O192" s="12"/>
      <c r="P192" s="12"/>
      <c r="Q192" s="12"/>
      <c r="R192" s="12"/>
      <c r="S192" s="12"/>
      <c r="T192" s="12"/>
      <c r="U192" s="12"/>
      <c r="V192" s="12"/>
      <c r="W192" s="12"/>
      <c r="X192" s="12"/>
      <c r="Y192" s="12"/>
      <c r="Z192" s="12"/>
      <c r="AA192" s="12"/>
      <c r="AB192" s="12"/>
      <c r="AC192" s="38"/>
    </row>
    <row r="193" ht="12.75" customHeight="1">
      <c r="B193" s="12"/>
      <c r="C193" s="104"/>
      <c r="D193" s="12"/>
      <c r="E193" s="12"/>
      <c r="F193" s="12"/>
      <c r="G193" s="12"/>
      <c r="H193" s="12"/>
      <c r="I193" s="12"/>
      <c r="J193" s="12"/>
      <c r="K193" s="12"/>
      <c r="L193" s="12"/>
      <c r="M193" s="12"/>
      <c r="N193" s="12"/>
      <c r="O193" s="12"/>
      <c r="P193" s="12"/>
      <c r="Q193" s="12"/>
      <c r="R193" s="12"/>
      <c r="S193" s="12"/>
      <c r="T193" s="12"/>
      <c r="U193" s="12"/>
      <c r="V193" s="12"/>
      <c r="W193" s="12"/>
      <c r="X193" s="12"/>
      <c r="Y193" s="12"/>
      <c r="Z193" s="12"/>
      <c r="AA193" s="12"/>
      <c r="AB193" s="12"/>
      <c r="AC193" s="38"/>
    </row>
    <row r="194" ht="12.75" customHeight="1">
      <c r="B194" s="12"/>
      <c r="C194" s="104"/>
      <c r="D194" s="12"/>
      <c r="E194" s="12"/>
      <c r="F194" s="12"/>
      <c r="G194" s="12"/>
      <c r="H194" s="12"/>
      <c r="I194" s="12"/>
      <c r="J194" s="12"/>
      <c r="K194" s="12"/>
      <c r="L194" s="12"/>
      <c r="M194" s="12"/>
      <c r="N194" s="12"/>
      <c r="O194" s="12"/>
      <c r="P194" s="12"/>
      <c r="Q194" s="12"/>
      <c r="R194" s="12"/>
      <c r="S194" s="12"/>
      <c r="T194" s="12"/>
      <c r="U194" s="12"/>
      <c r="V194" s="12"/>
      <c r="W194" s="12"/>
      <c r="X194" s="12"/>
      <c r="Y194" s="12"/>
      <c r="Z194" s="12"/>
      <c r="AA194" s="12"/>
      <c r="AB194" s="12"/>
      <c r="AC194" s="38"/>
    </row>
    <row r="195" ht="12.75" customHeight="1">
      <c r="B195" s="12"/>
      <c r="C195" s="104"/>
      <c r="D195" s="12"/>
      <c r="E195" s="12"/>
      <c r="F195" s="12"/>
      <c r="G195" s="12"/>
      <c r="H195" s="12"/>
      <c r="I195" s="12"/>
      <c r="J195" s="12"/>
      <c r="K195" s="12"/>
      <c r="L195" s="12"/>
      <c r="M195" s="12"/>
      <c r="N195" s="12"/>
      <c r="O195" s="12"/>
      <c r="P195" s="12"/>
      <c r="Q195" s="12"/>
      <c r="R195" s="12"/>
      <c r="S195" s="12"/>
      <c r="T195" s="12"/>
      <c r="U195" s="12"/>
      <c r="V195" s="12"/>
      <c r="W195" s="12"/>
      <c r="X195" s="12"/>
      <c r="Y195" s="12"/>
      <c r="Z195" s="12"/>
      <c r="AA195" s="12"/>
      <c r="AB195" s="12"/>
      <c r="AC195" s="38"/>
    </row>
    <row r="196" ht="12.75" customHeight="1">
      <c r="B196" s="12"/>
      <c r="C196" s="104"/>
      <c r="D196" s="12"/>
      <c r="E196" s="12"/>
      <c r="F196" s="12"/>
      <c r="G196" s="12"/>
      <c r="H196" s="12"/>
      <c r="I196" s="12"/>
      <c r="J196" s="12"/>
      <c r="K196" s="12"/>
      <c r="L196" s="12"/>
      <c r="M196" s="12"/>
      <c r="N196" s="12"/>
      <c r="O196" s="12"/>
      <c r="P196" s="12"/>
      <c r="Q196" s="12"/>
      <c r="R196" s="12"/>
      <c r="S196" s="12"/>
      <c r="T196" s="12"/>
      <c r="U196" s="12"/>
      <c r="V196" s="12"/>
      <c r="W196" s="12"/>
      <c r="X196" s="12"/>
      <c r="Y196" s="12"/>
      <c r="Z196" s="12"/>
      <c r="AA196" s="12"/>
      <c r="AB196" s="12"/>
      <c r="AC196" s="38"/>
    </row>
    <row r="197" ht="12.75" customHeight="1">
      <c r="B197" s="12"/>
      <c r="C197" s="104"/>
      <c r="D197" s="12"/>
      <c r="E197" s="12"/>
      <c r="F197" s="12"/>
      <c r="G197" s="12"/>
      <c r="H197" s="12"/>
      <c r="I197" s="12"/>
      <c r="J197" s="12"/>
      <c r="K197" s="12"/>
      <c r="L197" s="12"/>
      <c r="M197" s="12"/>
      <c r="N197" s="12"/>
      <c r="O197" s="12"/>
      <c r="P197" s="12"/>
      <c r="Q197" s="12"/>
      <c r="R197" s="12"/>
      <c r="S197" s="12"/>
      <c r="T197" s="12"/>
      <c r="U197" s="12"/>
      <c r="V197" s="12"/>
      <c r="W197" s="12"/>
      <c r="X197" s="12"/>
      <c r="Y197" s="12"/>
      <c r="Z197" s="12"/>
      <c r="AA197" s="12"/>
      <c r="AB197" s="12"/>
      <c r="AC197" s="38"/>
    </row>
    <row r="198" ht="12.75" customHeight="1">
      <c r="B198" s="12"/>
      <c r="C198" s="104"/>
      <c r="D198" s="12"/>
      <c r="E198" s="12"/>
      <c r="F198" s="12"/>
      <c r="G198" s="12"/>
      <c r="H198" s="12"/>
      <c r="I198" s="12"/>
      <c r="J198" s="12"/>
      <c r="K198" s="12"/>
      <c r="L198" s="12"/>
      <c r="M198" s="12"/>
      <c r="N198" s="12"/>
      <c r="O198" s="12"/>
      <c r="P198" s="12"/>
      <c r="Q198" s="12"/>
      <c r="R198" s="12"/>
      <c r="S198" s="12"/>
      <c r="T198" s="12"/>
      <c r="U198" s="12"/>
      <c r="V198" s="12"/>
      <c r="W198" s="12"/>
      <c r="X198" s="12"/>
      <c r="Y198" s="12"/>
      <c r="Z198" s="12"/>
      <c r="AA198" s="12"/>
      <c r="AB198" s="12"/>
      <c r="AC198" s="38"/>
    </row>
    <row r="199" ht="12.75" customHeight="1">
      <c r="B199" s="12"/>
      <c r="C199" s="104"/>
      <c r="D199" s="12"/>
      <c r="E199" s="12"/>
      <c r="F199" s="12"/>
      <c r="G199" s="12"/>
      <c r="H199" s="12"/>
      <c r="I199" s="12"/>
      <c r="J199" s="12"/>
      <c r="K199" s="12"/>
      <c r="L199" s="12"/>
      <c r="M199" s="12"/>
      <c r="N199" s="12"/>
      <c r="O199" s="12"/>
      <c r="P199" s="12"/>
      <c r="Q199" s="12"/>
      <c r="R199" s="12"/>
      <c r="S199" s="12"/>
      <c r="T199" s="12"/>
      <c r="U199" s="12"/>
      <c r="V199" s="12"/>
      <c r="W199" s="12"/>
      <c r="X199" s="12"/>
      <c r="Y199" s="12"/>
      <c r="Z199" s="12"/>
      <c r="AA199" s="12"/>
      <c r="AB199" s="12"/>
      <c r="AC199" s="38"/>
    </row>
    <row r="200" ht="12.75" customHeight="1">
      <c r="B200" s="12"/>
      <c r="C200" s="104"/>
      <c r="D200" s="12"/>
      <c r="E200" s="12"/>
      <c r="F200" s="12"/>
      <c r="G200" s="12"/>
      <c r="H200" s="12"/>
      <c r="I200" s="12"/>
      <c r="J200" s="12"/>
      <c r="K200" s="12"/>
      <c r="L200" s="12"/>
      <c r="M200" s="12"/>
      <c r="N200" s="12"/>
      <c r="O200" s="12"/>
      <c r="P200" s="12"/>
      <c r="Q200" s="12"/>
      <c r="R200" s="12"/>
      <c r="S200" s="12"/>
      <c r="T200" s="12"/>
      <c r="U200" s="12"/>
      <c r="V200" s="12"/>
      <c r="W200" s="12"/>
      <c r="X200" s="12"/>
      <c r="Y200" s="12"/>
      <c r="Z200" s="12"/>
      <c r="AA200" s="12"/>
      <c r="AB200" s="12"/>
      <c r="AC200" s="38"/>
    </row>
    <row r="201" ht="12.75" customHeight="1">
      <c r="B201" s="12"/>
      <c r="C201" s="104"/>
      <c r="D201" s="12"/>
      <c r="E201" s="12"/>
      <c r="F201" s="12"/>
      <c r="G201" s="12"/>
      <c r="H201" s="12"/>
      <c r="I201" s="12"/>
      <c r="J201" s="12"/>
      <c r="K201" s="12"/>
      <c r="L201" s="12"/>
      <c r="M201" s="12"/>
      <c r="N201" s="12"/>
      <c r="O201" s="12"/>
      <c r="P201" s="12"/>
      <c r="Q201" s="12"/>
      <c r="R201" s="12"/>
      <c r="S201" s="12"/>
      <c r="T201" s="12"/>
      <c r="U201" s="12"/>
      <c r="V201" s="12"/>
      <c r="W201" s="12"/>
      <c r="X201" s="12"/>
      <c r="Y201" s="12"/>
      <c r="Z201" s="12"/>
      <c r="AA201" s="12"/>
      <c r="AB201" s="12"/>
      <c r="AC201" s="38"/>
    </row>
    <row r="202" ht="12.75" customHeight="1">
      <c r="B202" s="12"/>
      <c r="C202" s="104"/>
      <c r="D202" s="12"/>
      <c r="E202" s="12"/>
      <c r="F202" s="12"/>
      <c r="G202" s="12"/>
      <c r="H202" s="12"/>
      <c r="I202" s="12"/>
      <c r="J202" s="12"/>
      <c r="K202" s="12"/>
      <c r="L202" s="12"/>
      <c r="M202" s="12"/>
      <c r="N202" s="12"/>
      <c r="O202" s="12"/>
      <c r="P202" s="12"/>
      <c r="Q202" s="12"/>
      <c r="R202" s="12"/>
      <c r="S202" s="12"/>
      <c r="T202" s="12"/>
      <c r="U202" s="12"/>
      <c r="V202" s="12"/>
      <c r="W202" s="12"/>
      <c r="X202" s="12"/>
      <c r="Y202" s="12"/>
      <c r="Z202" s="12"/>
      <c r="AA202" s="12"/>
      <c r="AB202" s="12"/>
      <c r="AC202" s="38"/>
    </row>
    <row r="203" ht="12.75" customHeight="1">
      <c r="B203" s="12"/>
      <c r="C203" s="104"/>
      <c r="D203" s="12"/>
      <c r="E203" s="12"/>
      <c r="F203" s="12"/>
      <c r="G203" s="12"/>
      <c r="H203" s="12"/>
      <c r="I203" s="12"/>
      <c r="J203" s="12"/>
      <c r="K203" s="12"/>
      <c r="L203" s="12"/>
      <c r="M203" s="12"/>
      <c r="N203" s="12"/>
      <c r="O203" s="12"/>
      <c r="P203" s="12"/>
      <c r="Q203" s="12"/>
      <c r="R203" s="12"/>
      <c r="S203" s="12"/>
      <c r="T203" s="12"/>
      <c r="U203" s="12"/>
      <c r="V203" s="12"/>
      <c r="W203" s="12"/>
      <c r="X203" s="12"/>
      <c r="Y203" s="12"/>
      <c r="Z203" s="12"/>
      <c r="AA203" s="12"/>
      <c r="AB203" s="12"/>
      <c r="AC203" s="38"/>
    </row>
    <row r="204" ht="12.75" customHeight="1">
      <c r="B204" s="12"/>
      <c r="C204" s="104"/>
      <c r="D204" s="12"/>
      <c r="E204" s="12"/>
      <c r="F204" s="12"/>
      <c r="G204" s="12"/>
      <c r="H204" s="12"/>
      <c r="I204" s="12"/>
      <c r="J204" s="12"/>
      <c r="K204" s="12"/>
      <c r="L204" s="12"/>
      <c r="M204" s="12"/>
      <c r="N204" s="12"/>
      <c r="O204" s="12"/>
      <c r="P204" s="12"/>
      <c r="Q204" s="12"/>
      <c r="R204" s="12"/>
      <c r="S204" s="12"/>
      <c r="T204" s="12"/>
      <c r="U204" s="12"/>
      <c r="V204" s="12"/>
      <c r="W204" s="12"/>
      <c r="X204" s="12"/>
      <c r="Y204" s="12"/>
      <c r="Z204" s="12"/>
      <c r="AA204" s="12"/>
      <c r="AB204" s="12"/>
      <c r="AC204" s="38"/>
    </row>
    <row r="205" ht="12.75" customHeight="1">
      <c r="B205" s="12"/>
      <c r="C205" s="104"/>
      <c r="D205" s="12"/>
      <c r="E205" s="12"/>
      <c r="F205" s="12"/>
      <c r="G205" s="12"/>
      <c r="H205" s="12"/>
      <c r="I205" s="12"/>
      <c r="J205" s="12"/>
      <c r="K205" s="12"/>
      <c r="L205" s="12"/>
      <c r="M205" s="12"/>
      <c r="N205" s="12"/>
      <c r="O205" s="12"/>
      <c r="P205" s="12"/>
      <c r="Q205" s="12"/>
      <c r="R205" s="12"/>
      <c r="S205" s="12"/>
      <c r="T205" s="12"/>
      <c r="U205" s="12"/>
      <c r="V205" s="12"/>
      <c r="W205" s="12"/>
      <c r="X205" s="12"/>
      <c r="Y205" s="12"/>
      <c r="Z205" s="12"/>
      <c r="AA205" s="12"/>
      <c r="AB205" s="12"/>
      <c r="AC205" s="38"/>
    </row>
    <row r="206" ht="12.75" customHeight="1">
      <c r="B206" s="12"/>
      <c r="C206" s="104"/>
      <c r="D206" s="12"/>
      <c r="E206" s="12"/>
      <c r="F206" s="12"/>
      <c r="G206" s="12"/>
      <c r="H206" s="12"/>
      <c r="I206" s="12"/>
      <c r="J206" s="12"/>
      <c r="K206" s="12"/>
      <c r="L206" s="12"/>
      <c r="M206" s="12"/>
      <c r="N206" s="12"/>
      <c r="O206" s="12"/>
      <c r="P206" s="12"/>
      <c r="Q206" s="12"/>
      <c r="R206" s="12"/>
      <c r="S206" s="12"/>
      <c r="T206" s="12"/>
      <c r="U206" s="12"/>
      <c r="V206" s="12"/>
      <c r="W206" s="12"/>
      <c r="X206" s="12"/>
      <c r="Y206" s="12"/>
      <c r="Z206" s="12"/>
      <c r="AA206" s="12"/>
      <c r="AB206" s="12"/>
      <c r="AC206" s="38"/>
    </row>
    <row r="207" ht="12.75" customHeight="1">
      <c r="B207" s="12"/>
      <c r="C207" s="104"/>
      <c r="D207" s="12"/>
      <c r="E207" s="12"/>
      <c r="F207" s="12"/>
      <c r="G207" s="12"/>
      <c r="H207" s="12"/>
      <c r="I207" s="12"/>
      <c r="J207" s="12"/>
      <c r="K207" s="12"/>
      <c r="L207" s="12"/>
      <c r="M207" s="12"/>
      <c r="N207" s="12"/>
      <c r="O207" s="12"/>
      <c r="P207" s="12"/>
      <c r="Q207" s="12"/>
      <c r="R207" s="12"/>
      <c r="S207" s="12"/>
      <c r="T207" s="12"/>
      <c r="U207" s="12"/>
      <c r="V207" s="12"/>
      <c r="W207" s="12"/>
      <c r="X207" s="12"/>
      <c r="Y207" s="12"/>
      <c r="Z207" s="12"/>
      <c r="AA207" s="12"/>
      <c r="AB207" s="12"/>
      <c r="AC207" s="38"/>
    </row>
    <row r="208" ht="12.75" customHeight="1">
      <c r="B208" s="12"/>
      <c r="C208" s="104"/>
      <c r="D208" s="12"/>
      <c r="E208" s="12"/>
      <c r="F208" s="12"/>
      <c r="G208" s="12"/>
      <c r="H208" s="12"/>
      <c r="I208" s="12"/>
      <c r="J208" s="12"/>
      <c r="K208" s="12"/>
      <c r="L208" s="12"/>
      <c r="M208" s="12"/>
      <c r="N208" s="12"/>
      <c r="O208" s="12"/>
      <c r="P208" s="12"/>
      <c r="Q208" s="12"/>
      <c r="R208" s="12"/>
      <c r="S208" s="12"/>
      <c r="T208" s="12"/>
      <c r="U208" s="12"/>
      <c r="V208" s="12"/>
      <c r="W208" s="12"/>
      <c r="X208" s="12"/>
      <c r="Y208" s="12"/>
      <c r="Z208" s="12"/>
      <c r="AA208" s="12"/>
      <c r="AB208" s="12"/>
      <c r="AC208" s="38"/>
    </row>
    <row r="209" ht="12.75" customHeight="1">
      <c r="B209" s="12"/>
      <c r="C209" s="104"/>
      <c r="D209" s="12"/>
      <c r="E209" s="12"/>
      <c r="F209" s="12"/>
      <c r="G209" s="12"/>
      <c r="H209" s="12"/>
      <c r="I209" s="12"/>
      <c r="J209" s="12"/>
      <c r="K209" s="12"/>
      <c r="L209" s="12"/>
      <c r="M209" s="12"/>
      <c r="N209" s="12"/>
      <c r="O209" s="12"/>
      <c r="P209" s="12"/>
      <c r="Q209" s="12"/>
      <c r="R209" s="12"/>
      <c r="S209" s="12"/>
      <c r="T209" s="12"/>
      <c r="U209" s="12"/>
      <c r="V209" s="12"/>
      <c r="W209" s="12"/>
      <c r="X209" s="12"/>
      <c r="Y209" s="12"/>
      <c r="Z209" s="12"/>
      <c r="AA209" s="12"/>
      <c r="AB209" s="12"/>
      <c r="AC209" s="38"/>
    </row>
    <row r="210" ht="12.75" customHeight="1">
      <c r="B210" s="12"/>
      <c r="C210" s="104"/>
      <c r="D210" s="12"/>
      <c r="E210" s="12"/>
      <c r="F210" s="12"/>
      <c r="G210" s="12"/>
      <c r="H210" s="12"/>
      <c r="I210" s="12"/>
      <c r="J210" s="12"/>
      <c r="K210" s="12"/>
      <c r="L210" s="12"/>
      <c r="M210" s="12"/>
      <c r="N210" s="12"/>
      <c r="O210" s="12"/>
      <c r="P210" s="12"/>
      <c r="Q210" s="12"/>
      <c r="R210" s="12"/>
      <c r="S210" s="12"/>
      <c r="T210" s="12"/>
      <c r="U210" s="12"/>
      <c r="V210" s="12"/>
      <c r="W210" s="12"/>
      <c r="X210" s="12"/>
      <c r="Y210" s="12"/>
      <c r="Z210" s="12"/>
      <c r="AA210" s="12"/>
      <c r="AB210" s="12"/>
      <c r="AC210" s="38"/>
    </row>
    <row r="211" ht="12.75" customHeight="1">
      <c r="B211" s="12"/>
      <c r="C211" s="104"/>
      <c r="D211" s="12"/>
      <c r="E211" s="12"/>
      <c r="F211" s="12"/>
      <c r="G211" s="12"/>
      <c r="H211" s="12"/>
      <c r="I211" s="12"/>
      <c r="J211" s="12"/>
      <c r="K211" s="12"/>
      <c r="L211" s="12"/>
      <c r="M211" s="12"/>
      <c r="N211" s="12"/>
      <c r="O211" s="12"/>
      <c r="P211" s="12"/>
      <c r="Q211" s="12"/>
      <c r="R211" s="12"/>
      <c r="S211" s="12"/>
      <c r="T211" s="12"/>
      <c r="U211" s="12"/>
      <c r="V211" s="12"/>
      <c r="W211" s="12"/>
      <c r="X211" s="12"/>
      <c r="Y211" s="12"/>
      <c r="Z211" s="12"/>
      <c r="AA211" s="12"/>
      <c r="AB211" s="12"/>
      <c r="AC211" s="38"/>
    </row>
    <row r="212" ht="12.75" customHeight="1">
      <c r="B212" s="12"/>
      <c r="C212" s="104"/>
      <c r="D212" s="12"/>
      <c r="E212" s="12"/>
      <c r="F212" s="12"/>
      <c r="G212" s="12"/>
      <c r="H212" s="12"/>
      <c r="I212" s="12"/>
      <c r="J212" s="12"/>
      <c r="K212" s="12"/>
      <c r="L212" s="12"/>
      <c r="M212" s="12"/>
      <c r="N212" s="12"/>
      <c r="O212" s="12"/>
      <c r="P212" s="12"/>
      <c r="Q212" s="12"/>
      <c r="R212" s="12"/>
      <c r="S212" s="12"/>
      <c r="T212" s="12"/>
      <c r="U212" s="12"/>
      <c r="V212" s="12"/>
      <c r="W212" s="12"/>
      <c r="X212" s="12"/>
      <c r="Y212" s="12"/>
      <c r="Z212" s="12"/>
      <c r="AA212" s="12"/>
      <c r="AB212" s="12"/>
      <c r="AC212" s="38"/>
    </row>
    <row r="213" ht="12.75" customHeight="1">
      <c r="B213" s="12"/>
      <c r="C213" s="104"/>
      <c r="D213" s="12"/>
      <c r="E213" s="12"/>
      <c r="F213" s="12"/>
      <c r="G213" s="12"/>
      <c r="H213" s="12"/>
      <c r="I213" s="12"/>
      <c r="J213" s="12"/>
      <c r="K213" s="12"/>
      <c r="L213" s="12"/>
      <c r="M213" s="12"/>
      <c r="N213" s="12"/>
      <c r="O213" s="12"/>
      <c r="P213" s="12"/>
      <c r="Q213" s="12"/>
      <c r="R213" s="12"/>
      <c r="S213" s="12"/>
      <c r="T213" s="12"/>
      <c r="U213" s="12"/>
      <c r="V213" s="12"/>
      <c r="W213" s="12"/>
      <c r="X213" s="12"/>
      <c r="Y213" s="12"/>
      <c r="Z213" s="12"/>
      <c r="AA213" s="12"/>
      <c r="AB213" s="12"/>
      <c r="AC213" s="38"/>
    </row>
    <row r="214" ht="12.75" customHeight="1">
      <c r="B214" s="12"/>
      <c r="C214" s="104"/>
      <c r="D214" s="12"/>
      <c r="E214" s="12"/>
      <c r="F214" s="12"/>
      <c r="G214" s="12"/>
      <c r="H214" s="12"/>
      <c r="I214" s="12"/>
      <c r="J214" s="12"/>
      <c r="K214" s="12"/>
      <c r="L214" s="12"/>
      <c r="M214" s="12"/>
      <c r="N214" s="12"/>
      <c r="O214" s="12"/>
      <c r="P214" s="12"/>
      <c r="Q214" s="12"/>
      <c r="R214" s="12"/>
      <c r="S214" s="12"/>
      <c r="T214" s="12"/>
      <c r="U214" s="12"/>
      <c r="V214" s="12"/>
      <c r="W214" s="12"/>
      <c r="X214" s="12"/>
      <c r="Y214" s="12"/>
      <c r="Z214" s="12"/>
      <c r="AA214" s="12"/>
      <c r="AB214" s="12"/>
      <c r="AC214" s="38"/>
    </row>
    <row r="215" ht="12.75" customHeight="1">
      <c r="B215" s="12"/>
      <c r="C215" s="104"/>
      <c r="D215" s="12"/>
      <c r="E215" s="12"/>
      <c r="F215" s="12"/>
      <c r="G215" s="12"/>
      <c r="H215" s="12"/>
      <c r="I215" s="12"/>
      <c r="J215" s="12"/>
      <c r="K215" s="12"/>
      <c r="L215" s="12"/>
      <c r="M215" s="12"/>
      <c r="N215" s="12"/>
      <c r="O215" s="12"/>
      <c r="P215" s="12"/>
      <c r="Q215" s="12"/>
      <c r="R215" s="12"/>
      <c r="S215" s="12"/>
      <c r="T215" s="12"/>
      <c r="U215" s="12"/>
      <c r="V215" s="12"/>
      <c r="W215" s="12"/>
      <c r="X215" s="12"/>
      <c r="Y215" s="12"/>
      <c r="Z215" s="12"/>
      <c r="AA215" s="12"/>
      <c r="AB215" s="12"/>
      <c r="AC215" s="38"/>
    </row>
    <row r="216" ht="12.75" customHeight="1">
      <c r="B216" s="12"/>
      <c r="C216" s="104"/>
      <c r="D216" s="12"/>
      <c r="E216" s="12"/>
      <c r="F216" s="12"/>
      <c r="G216" s="12"/>
      <c r="H216" s="12"/>
      <c r="I216" s="12"/>
      <c r="J216" s="12"/>
      <c r="K216" s="12"/>
      <c r="L216" s="12"/>
      <c r="M216" s="12"/>
      <c r="N216" s="12"/>
      <c r="O216" s="12"/>
      <c r="P216" s="12"/>
      <c r="Q216" s="12"/>
      <c r="R216" s="12"/>
      <c r="S216" s="12"/>
      <c r="T216" s="12"/>
      <c r="U216" s="12"/>
      <c r="V216" s="12"/>
      <c r="W216" s="12"/>
      <c r="X216" s="12"/>
      <c r="Y216" s="12"/>
      <c r="Z216" s="12"/>
      <c r="AA216" s="12"/>
      <c r="AB216" s="12"/>
      <c r="AC216" s="38"/>
    </row>
    <row r="217" ht="12.75" customHeight="1">
      <c r="B217" s="12"/>
      <c r="C217" s="104"/>
      <c r="D217" s="12"/>
      <c r="E217" s="12"/>
      <c r="F217" s="12"/>
      <c r="G217" s="12"/>
      <c r="H217" s="12"/>
      <c r="I217" s="12"/>
      <c r="J217" s="12"/>
      <c r="K217" s="12"/>
      <c r="L217" s="12"/>
      <c r="M217" s="12"/>
      <c r="N217" s="12"/>
      <c r="O217" s="12"/>
      <c r="P217" s="12"/>
      <c r="Q217" s="12"/>
      <c r="R217" s="12"/>
      <c r="S217" s="12"/>
      <c r="T217" s="12"/>
      <c r="U217" s="12"/>
      <c r="V217" s="12"/>
      <c r="W217" s="12"/>
      <c r="X217" s="12"/>
      <c r="Y217" s="12"/>
      <c r="Z217" s="12"/>
      <c r="AA217" s="12"/>
      <c r="AB217" s="12"/>
      <c r="AC217" s="38"/>
    </row>
    <row r="218" ht="12.75" customHeight="1">
      <c r="B218" s="12"/>
      <c r="C218" s="104"/>
      <c r="D218" s="12"/>
      <c r="E218" s="12"/>
      <c r="F218" s="12"/>
      <c r="G218" s="12"/>
      <c r="H218" s="12"/>
      <c r="I218" s="12"/>
      <c r="J218" s="12"/>
      <c r="K218" s="12"/>
      <c r="L218" s="12"/>
      <c r="M218" s="12"/>
      <c r="N218" s="12"/>
      <c r="O218" s="12"/>
      <c r="P218" s="12"/>
      <c r="Q218" s="12"/>
      <c r="R218" s="12"/>
      <c r="S218" s="12"/>
      <c r="T218" s="12"/>
      <c r="U218" s="12"/>
      <c r="V218" s="12"/>
      <c r="W218" s="12"/>
      <c r="X218" s="12"/>
      <c r="Y218" s="12"/>
      <c r="Z218" s="12"/>
      <c r="AA218" s="12"/>
      <c r="AB218" s="12"/>
      <c r="AC218" s="38"/>
    </row>
    <row r="219" ht="12.75" customHeight="1">
      <c r="B219" s="12"/>
      <c r="C219" s="104"/>
      <c r="D219" s="12"/>
      <c r="E219" s="12"/>
      <c r="F219" s="12"/>
      <c r="G219" s="12"/>
      <c r="H219" s="12"/>
      <c r="I219" s="12"/>
      <c r="J219" s="12"/>
      <c r="K219" s="12"/>
      <c r="L219" s="12"/>
      <c r="M219" s="12"/>
      <c r="N219" s="12"/>
      <c r="O219" s="12"/>
      <c r="P219" s="12"/>
      <c r="Q219" s="12"/>
      <c r="R219" s="12"/>
      <c r="S219" s="12"/>
      <c r="T219" s="12"/>
      <c r="U219" s="12"/>
      <c r="V219" s="12"/>
      <c r="W219" s="12"/>
      <c r="X219" s="12"/>
      <c r="Y219" s="12"/>
      <c r="Z219" s="12"/>
      <c r="AA219" s="12"/>
      <c r="AB219" s="12"/>
      <c r="AC219" s="38"/>
    </row>
    <row r="220" ht="12.75" customHeight="1">
      <c r="B220" s="12"/>
      <c r="C220" s="104"/>
      <c r="D220" s="12"/>
      <c r="E220" s="12"/>
      <c r="F220" s="12"/>
      <c r="G220" s="12"/>
      <c r="H220" s="12"/>
      <c r="I220" s="12"/>
      <c r="J220" s="12"/>
      <c r="K220" s="12"/>
      <c r="L220" s="12"/>
      <c r="M220" s="12"/>
      <c r="N220" s="12"/>
      <c r="O220" s="12"/>
      <c r="P220" s="12"/>
      <c r="Q220" s="12"/>
      <c r="R220" s="12"/>
      <c r="S220" s="12"/>
      <c r="T220" s="12"/>
      <c r="U220" s="12"/>
      <c r="V220" s="12"/>
      <c r="W220" s="12"/>
      <c r="X220" s="12"/>
      <c r="Y220" s="12"/>
      <c r="Z220" s="12"/>
      <c r="AA220" s="12"/>
      <c r="AB220" s="12"/>
      <c r="AC220" s="38"/>
    </row>
    <row r="221" ht="12.75" customHeight="1">
      <c r="B221" s="12"/>
      <c r="C221" s="104"/>
      <c r="D221" s="12"/>
      <c r="E221" s="12"/>
      <c r="F221" s="12"/>
      <c r="G221" s="12"/>
      <c r="H221" s="12"/>
      <c r="I221" s="12"/>
      <c r="J221" s="12"/>
      <c r="K221" s="12"/>
      <c r="L221" s="12"/>
      <c r="M221" s="12"/>
      <c r="N221" s="12"/>
      <c r="O221" s="12"/>
      <c r="P221" s="12"/>
      <c r="Q221" s="12"/>
      <c r="R221" s="12"/>
      <c r="S221" s="12"/>
      <c r="T221" s="12"/>
      <c r="U221" s="12"/>
      <c r="V221" s="12"/>
      <c r="W221" s="12"/>
      <c r="X221" s="12"/>
      <c r="Y221" s="12"/>
      <c r="Z221" s="12"/>
      <c r="AA221" s="12"/>
      <c r="AB221" s="12"/>
      <c r="AC221" s="38"/>
    </row>
    <row r="222" ht="12.75" customHeight="1">
      <c r="B222" s="12"/>
      <c r="C222" s="104"/>
      <c r="D222" s="12"/>
      <c r="E222" s="12"/>
      <c r="F222" s="12"/>
      <c r="G222" s="12"/>
      <c r="H222" s="12"/>
      <c r="I222" s="12"/>
      <c r="J222" s="12"/>
      <c r="K222" s="12"/>
      <c r="L222" s="12"/>
      <c r="M222" s="12"/>
      <c r="N222" s="12"/>
      <c r="O222" s="12"/>
      <c r="P222" s="12"/>
      <c r="Q222" s="12"/>
      <c r="R222" s="12"/>
      <c r="S222" s="12"/>
      <c r="T222" s="12"/>
      <c r="U222" s="12"/>
      <c r="V222" s="12"/>
      <c r="W222" s="12"/>
      <c r="X222" s="12"/>
      <c r="Y222" s="12"/>
      <c r="Z222" s="12"/>
      <c r="AA222" s="12"/>
      <c r="AB222" s="12"/>
      <c r="AC222" s="38"/>
    </row>
    <row r="223" ht="12.75" customHeight="1">
      <c r="B223" s="12"/>
      <c r="C223" s="104"/>
      <c r="D223" s="12"/>
      <c r="E223" s="12"/>
      <c r="F223" s="12"/>
      <c r="G223" s="12"/>
      <c r="H223" s="12"/>
      <c r="I223" s="12"/>
      <c r="J223" s="12"/>
      <c r="K223" s="12"/>
      <c r="L223" s="12"/>
      <c r="M223" s="12"/>
      <c r="N223" s="12"/>
      <c r="O223" s="12"/>
      <c r="P223" s="12"/>
      <c r="Q223" s="12"/>
      <c r="R223" s="12"/>
      <c r="S223" s="12"/>
      <c r="T223" s="12"/>
      <c r="U223" s="12"/>
      <c r="V223" s="12"/>
      <c r="W223" s="12"/>
      <c r="X223" s="12"/>
      <c r="Y223" s="12"/>
      <c r="Z223" s="12"/>
      <c r="AA223" s="12"/>
      <c r="AB223" s="12"/>
      <c r="AC223" s="38"/>
    </row>
    <row r="224" ht="12.75" customHeight="1">
      <c r="B224" s="12"/>
      <c r="C224" s="104"/>
      <c r="D224" s="12"/>
      <c r="E224" s="12"/>
      <c r="F224" s="12"/>
      <c r="G224" s="12"/>
      <c r="H224" s="12"/>
      <c r="I224" s="12"/>
      <c r="J224" s="12"/>
      <c r="K224" s="12"/>
      <c r="L224" s="12"/>
      <c r="M224" s="12"/>
      <c r="N224" s="12"/>
      <c r="O224" s="12"/>
      <c r="P224" s="12"/>
      <c r="Q224" s="12"/>
      <c r="R224" s="12"/>
      <c r="S224" s="12"/>
      <c r="T224" s="12"/>
      <c r="U224" s="12"/>
      <c r="V224" s="12"/>
      <c r="W224" s="12"/>
      <c r="X224" s="12"/>
      <c r="Y224" s="12"/>
      <c r="Z224" s="12"/>
      <c r="AA224" s="12"/>
      <c r="AB224" s="12"/>
      <c r="AC224" s="38"/>
    </row>
    <row r="225" ht="12.75" customHeight="1">
      <c r="B225" s="12"/>
      <c r="C225" s="104"/>
      <c r="D225" s="12"/>
      <c r="E225" s="12"/>
      <c r="F225" s="12"/>
      <c r="G225" s="12"/>
      <c r="H225" s="12"/>
      <c r="I225" s="12"/>
      <c r="J225" s="12"/>
      <c r="K225" s="12"/>
      <c r="L225" s="12"/>
      <c r="M225" s="12"/>
      <c r="N225" s="12"/>
      <c r="O225" s="12"/>
      <c r="P225" s="12"/>
      <c r="Q225" s="12"/>
      <c r="R225" s="12"/>
      <c r="S225" s="12"/>
      <c r="T225" s="12"/>
      <c r="U225" s="12"/>
      <c r="V225" s="12"/>
      <c r="W225" s="12"/>
      <c r="X225" s="12"/>
      <c r="Y225" s="12"/>
      <c r="Z225" s="12"/>
      <c r="AA225" s="12"/>
      <c r="AB225" s="12"/>
      <c r="AC225" s="38"/>
    </row>
    <row r="226" ht="12.75" customHeight="1">
      <c r="B226" s="12"/>
      <c r="C226" s="104"/>
      <c r="D226" s="12"/>
      <c r="E226" s="12"/>
      <c r="F226" s="12"/>
      <c r="G226" s="12"/>
      <c r="H226" s="12"/>
      <c r="I226" s="12"/>
      <c r="J226" s="12"/>
      <c r="K226" s="12"/>
      <c r="L226" s="12"/>
      <c r="M226" s="12"/>
      <c r="N226" s="12"/>
      <c r="O226" s="12"/>
      <c r="P226" s="12"/>
      <c r="Q226" s="12"/>
      <c r="R226" s="12"/>
      <c r="S226" s="12"/>
      <c r="T226" s="12"/>
      <c r="U226" s="12"/>
      <c r="V226" s="12"/>
      <c r="W226" s="12"/>
      <c r="X226" s="12"/>
      <c r="Y226" s="12"/>
      <c r="Z226" s="12"/>
      <c r="AA226" s="12"/>
      <c r="AB226" s="12"/>
      <c r="AC226" s="38"/>
    </row>
    <row r="227" ht="12.75" customHeight="1">
      <c r="B227" s="12"/>
      <c r="C227" s="104"/>
      <c r="D227" s="12"/>
      <c r="E227" s="12"/>
      <c r="F227" s="12"/>
      <c r="G227" s="12"/>
      <c r="H227" s="12"/>
      <c r="I227" s="12"/>
      <c r="J227" s="12"/>
      <c r="K227" s="12"/>
      <c r="L227" s="12"/>
      <c r="M227" s="12"/>
      <c r="N227" s="12"/>
      <c r="O227" s="12"/>
      <c r="P227" s="12"/>
      <c r="Q227" s="12"/>
      <c r="R227" s="12"/>
      <c r="S227" s="12"/>
      <c r="T227" s="12"/>
      <c r="U227" s="12"/>
      <c r="V227" s="12"/>
      <c r="W227" s="12"/>
      <c r="X227" s="12"/>
      <c r="Y227" s="12"/>
      <c r="Z227" s="12"/>
      <c r="AA227" s="12"/>
      <c r="AB227" s="12"/>
      <c r="AC227" s="38"/>
    </row>
    <row r="228" ht="12.75" customHeight="1">
      <c r="B228" s="12"/>
      <c r="C228" s="104"/>
      <c r="D228" s="12"/>
      <c r="E228" s="12"/>
      <c r="F228" s="12"/>
      <c r="G228" s="12"/>
      <c r="H228" s="12"/>
      <c r="I228" s="12"/>
      <c r="J228" s="12"/>
      <c r="K228" s="12"/>
      <c r="L228" s="12"/>
      <c r="M228" s="12"/>
      <c r="N228" s="12"/>
      <c r="O228" s="12"/>
      <c r="P228" s="12"/>
      <c r="Q228" s="12"/>
      <c r="R228" s="12"/>
      <c r="S228" s="12"/>
      <c r="T228" s="12"/>
      <c r="U228" s="12"/>
      <c r="V228" s="12"/>
      <c r="W228" s="12"/>
      <c r="X228" s="12"/>
      <c r="Y228" s="12"/>
      <c r="Z228" s="12"/>
      <c r="AA228" s="12"/>
      <c r="AB228" s="12"/>
      <c r="AC228" s="38"/>
    </row>
    <row r="229" ht="12.75" customHeight="1">
      <c r="B229" s="12"/>
      <c r="C229" s="104"/>
      <c r="D229" s="12"/>
      <c r="E229" s="12"/>
      <c r="F229" s="12"/>
      <c r="G229" s="12"/>
      <c r="H229" s="12"/>
      <c r="I229" s="12"/>
      <c r="J229" s="12"/>
      <c r="K229" s="12"/>
      <c r="L229" s="12"/>
      <c r="M229" s="12"/>
      <c r="N229" s="12"/>
      <c r="O229" s="12"/>
      <c r="P229" s="12"/>
      <c r="Q229" s="12"/>
      <c r="R229" s="12"/>
      <c r="S229" s="12"/>
      <c r="T229" s="12"/>
      <c r="U229" s="12"/>
      <c r="V229" s="12"/>
      <c r="W229" s="12"/>
      <c r="X229" s="12"/>
      <c r="Y229" s="12"/>
      <c r="Z229" s="12"/>
      <c r="AA229" s="12"/>
      <c r="AB229" s="12"/>
      <c r="AC229" s="38"/>
    </row>
    <row r="230" ht="12.75" customHeight="1">
      <c r="B230" s="12"/>
      <c r="C230" s="104"/>
      <c r="D230" s="12"/>
      <c r="E230" s="12"/>
      <c r="F230" s="12"/>
      <c r="G230" s="12"/>
      <c r="H230" s="12"/>
      <c r="I230" s="12"/>
      <c r="J230" s="12"/>
      <c r="K230" s="12"/>
      <c r="L230" s="12"/>
      <c r="M230" s="12"/>
      <c r="N230" s="12"/>
      <c r="O230" s="12"/>
      <c r="P230" s="12"/>
      <c r="Q230" s="12"/>
      <c r="R230" s="12"/>
      <c r="S230" s="12"/>
      <c r="T230" s="12"/>
      <c r="U230" s="12"/>
      <c r="V230" s="12"/>
      <c r="W230" s="12"/>
      <c r="X230" s="12"/>
      <c r="Y230" s="12"/>
      <c r="Z230" s="12"/>
      <c r="AA230" s="12"/>
      <c r="AB230" s="12"/>
      <c r="AC230" s="38"/>
    </row>
    <row r="231" ht="12.75" customHeight="1">
      <c r="B231" s="12"/>
      <c r="C231" s="104"/>
      <c r="D231" s="12"/>
      <c r="E231" s="12"/>
      <c r="F231" s="12"/>
      <c r="G231" s="12"/>
      <c r="H231" s="12"/>
      <c r="I231" s="12"/>
      <c r="J231" s="12"/>
      <c r="K231" s="12"/>
      <c r="L231" s="12"/>
      <c r="M231" s="12"/>
      <c r="N231" s="12"/>
      <c r="O231" s="12"/>
      <c r="P231" s="12"/>
      <c r="Q231" s="12"/>
      <c r="R231" s="12"/>
      <c r="S231" s="12"/>
      <c r="T231" s="12"/>
      <c r="U231" s="12"/>
      <c r="V231" s="12"/>
      <c r="W231" s="12"/>
      <c r="X231" s="12"/>
      <c r="Y231" s="12"/>
      <c r="Z231" s="12"/>
      <c r="AA231" s="12"/>
      <c r="AB231" s="12"/>
      <c r="AC231" s="38"/>
    </row>
    <row r="232" ht="12.75" customHeight="1">
      <c r="B232" s="12"/>
      <c r="C232" s="104"/>
      <c r="D232" s="12"/>
      <c r="E232" s="12"/>
      <c r="F232" s="12"/>
      <c r="G232" s="12"/>
      <c r="H232" s="12"/>
      <c r="I232" s="12"/>
      <c r="J232" s="12"/>
      <c r="K232" s="12"/>
      <c r="L232" s="12"/>
      <c r="M232" s="12"/>
      <c r="N232" s="12"/>
      <c r="O232" s="12"/>
      <c r="P232" s="12"/>
      <c r="Q232" s="12"/>
      <c r="R232" s="12"/>
      <c r="S232" s="12"/>
      <c r="T232" s="12"/>
      <c r="U232" s="12"/>
      <c r="V232" s="12"/>
      <c r="W232" s="12"/>
      <c r="X232" s="12"/>
      <c r="Y232" s="12"/>
      <c r="Z232" s="12"/>
      <c r="AA232" s="12"/>
      <c r="AB232" s="12"/>
      <c r="AC232" s="38"/>
    </row>
    <row r="233" ht="12.75" customHeight="1">
      <c r="B233" s="12"/>
      <c r="C233" s="104"/>
      <c r="D233" s="12"/>
      <c r="E233" s="12"/>
      <c r="F233" s="12"/>
      <c r="G233" s="12"/>
      <c r="H233" s="12"/>
      <c r="I233" s="12"/>
      <c r="J233" s="12"/>
      <c r="K233" s="12"/>
      <c r="L233" s="12"/>
      <c r="M233" s="12"/>
      <c r="N233" s="12"/>
      <c r="O233" s="12"/>
      <c r="P233" s="12"/>
      <c r="Q233" s="12"/>
      <c r="R233" s="12"/>
      <c r="S233" s="12"/>
      <c r="T233" s="12"/>
      <c r="U233" s="12"/>
      <c r="V233" s="12"/>
      <c r="W233" s="12"/>
      <c r="X233" s="12"/>
      <c r="Y233" s="12"/>
      <c r="Z233" s="12"/>
      <c r="AA233" s="12"/>
      <c r="AB233" s="12"/>
      <c r="AC233" s="38"/>
    </row>
    <row r="234" ht="12.75" customHeight="1">
      <c r="B234" s="12"/>
      <c r="C234" s="104"/>
      <c r="D234" s="12"/>
      <c r="E234" s="12"/>
      <c r="F234" s="12"/>
      <c r="G234" s="12"/>
      <c r="H234" s="12"/>
      <c r="I234" s="12"/>
      <c r="J234" s="12"/>
      <c r="K234" s="12"/>
      <c r="L234" s="12"/>
      <c r="M234" s="12"/>
      <c r="N234" s="12"/>
      <c r="O234" s="12"/>
      <c r="P234" s="12"/>
      <c r="Q234" s="12"/>
      <c r="R234" s="12"/>
      <c r="S234" s="12"/>
      <c r="T234" s="12"/>
      <c r="U234" s="12"/>
      <c r="V234" s="12"/>
      <c r="W234" s="12"/>
      <c r="X234" s="12"/>
      <c r="Y234" s="12"/>
      <c r="Z234" s="12"/>
      <c r="AA234" s="12"/>
      <c r="AB234" s="12"/>
      <c r="AC234" s="38"/>
    </row>
    <row r="235" ht="12.75" customHeight="1">
      <c r="B235" s="12"/>
      <c r="C235" s="104"/>
      <c r="D235" s="12"/>
      <c r="E235" s="12"/>
      <c r="F235" s="12"/>
      <c r="G235" s="12"/>
      <c r="H235" s="12"/>
      <c r="I235" s="12"/>
      <c r="J235" s="12"/>
      <c r="K235" s="12"/>
      <c r="L235" s="12"/>
      <c r="M235" s="12"/>
      <c r="N235" s="12"/>
      <c r="O235" s="12"/>
      <c r="P235" s="12"/>
      <c r="Q235" s="12"/>
      <c r="R235" s="12"/>
      <c r="S235" s="12"/>
      <c r="T235" s="12"/>
      <c r="U235" s="12"/>
      <c r="V235" s="12"/>
      <c r="W235" s="12"/>
      <c r="X235" s="12"/>
      <c r="Y235" s="12"/>
      <c r="Z235" s="12"/>
      <c r="AA235" s="12"/>
      <c r="AB235" s="12"/>
      <c r="AC235" s="38"/>
    </row>
    <row r="236" ht="12.75" customHeight="1">
      <c r="B236" s="12"/>
      <c r="C236" s="104"/>
      <c r="D236" s="12"/>
      <c r="E236" s="12"/>
      <c r="F236" s="12"/>
      <c r="G236" s="12"/>
      <c r="H236" s="12"/>
      <c r="I236" s="12"/>
      <c r="J236" s="12"/>
      <c r="K236" s="12"/>
      <c r="L236" s="12"/>
      <c r="M236" s="12"/>
      <c r="N236" s="12"/>
      <c r="O236" s="12"/>
      <c r="P236" s="12"/>
      <c r="Q236" s="12"/>
      <c r="R236" s="12"/>
      <c r="S236" s="12"/>
      <c r="T236" s="12"/>
      <c r="U236" s="12"/>
      <c r="V236" s="12"/>
      <c r="W236" s="12"/>
      <c r="X236" s="12"/>
      <c r="Y236" s="12"/>
      <c r="Z236" s="12"/>
      <c r="AA236" s="12"/>
      <c r="AB236" s="12"/>
      <c r="AC236" s="38"/>
    </row>
    <row r="237" ht="12.75" customHeight="1">
      <c r="B237" s="12"/>
      <c r="C237" s="104"/>
      <c r="D237" s="12"/>
      <c r="E237" s="12"/>
      <c r="F237" s="12"/>
      <c r="G237" s="12"/>
      <c r="H237" s="12"/>
      <c r="I237" s="12"/>
      <c r="J237" s="12"/>
      <c r="K237" s="12"/>
      <c r="L237" s="12"/>
      <c r="M237" s="12"/>
      <c r="N237" s="12"/>
      <c r="O237" s="12"/>
      <c r="P237" s="12"/>
      <c r="Q237" s="12"/>
      <c r="R237" s="12"/>
      <c r="S237" s="12"/>
      <c r="T237" s="12"/>
      <c r="U237" s="12"/>
      <c r="V237" s="12"/>
      <c r="W237" s="12"/>
      <c r="X237" s="12"/>
      <c r="Y237" s="12"/>
      <c r="Z237" s="12"/>
      <c r="AA237" s="12"/>
      <c r="AB237" s="12"/>
      <c r="AC237" s="38"/>
    </row>
    <row r="238" ht="12.75" customHeight="1">
      <c r="B238" s="12"/>
      <c r="C238" s="104"/>
      <c r="D238" s="12"/>
      <c r="E238" s="12"/>
      <c r="F238" s="12"/>
      <c r="G238" s="12"/>
      <c r="H238" s="12"/>
      <c r="I238" s="12"/>
      <c r="J238" s="12"/>
      <c r="K238" s="12"/>
      <c r="L238" s="12"/>
      <c r="M238" s="12"/>
      <c r="N238" s="12"/>
      <c r="O238" s="12"/>
      <c r="P238" s="12"/>
      <c r="Q238" s="12"/>
      <c r="R238" s="12"/>
      <c r="S238" s="12"/>
      <c r="T238" s="12"/>
      <c r="U238" s="12"/>
      <c r="V238" s="12"/>
      <c r="W238" s="12"/>
      <c r="X238" s="12"/>
      <c r="Y238" s="12"/>
      <c r="Z238" s="12"/>
      <c r="AA238" s="12"/>
      <c r="AB238" s="12"/>
      <c r="AC238" s="38"/>
    </row>
    <row r="239" ht="12.75" customHeight="1">
      <c r="B239" s="12"/>
      <c r="C239" s="104"/>
      <c r="D239" s="12"/>
      <c r="E239" s="12"/>
      <c r="F239" s="12"/>
      <c r="G239" s="12"/>
      <c r="H239" s="12"/>
      <c r="I239" s="12"/>
      <c r="J239" s="12"/>
      <c r="K239" s="12"/>
      <c r="L239" s="12"/>
      <c r="M239" s="12"/>
      <c r="N239" s="12"/>
      <c r="O239" s="12"/>
      <c r="P239" s="12"/>
      <c r="Q239" s="12"/>
      <c r="R239" s="12"/>
      <c r="S239" s="12"/>
      <c r="T239" s="12"/>
      <c r="U239" s="12"/>
      <c r="V239" s="12"/>
      <c r="W239" s="12"/>
      <c r="X239" s="12"/>
      <c r="Y239" s="12"/>
      <c r="Z239" s="12"/>
      <c r="AA239" s="12"/>
      <c r="AB239" s="12"/>
      <c r="AC239" s="38"/>
    </row>
    <row r="240" ht="12.75" customHeight="1">
      <c r="B240" s="12"/>
      <c r="C240" s="104"/>
      <c r="D240" s="12"/>
      <c r="E240" s="12"/>
      <c r="F240" s="12"/>
      <c r="G240" s="12"/>
      <c r="H240" s="12"/>
      <c r="I240" s="12"/>
      <c r="J240" s="12"/>
      <c r="K240" s="12"/>
      <c r="L240" s="12"/>
      <c r="M240" s="12"/>
      <c r="N240" s="12"/>
      <c r="O240" s="12"/>
      <c r="P240" s="12"/>
      <c r="Q240" s="12"/>
      <c r="R240" s="12"/>
      <c r="S240" s="12"/>
      <c r="T240" s="12"/>
      <c r="U240" s="12"/>
      <c r="V240" s="12"/>
      <c r="W240" s="12"/>
      <c r="X240" s="12"/>
      <c r="Y240" s="12"/>
      <c r="Z240" s="12"/>
      <c r="AA240" s="12"/>
      <c r="AB240" s="12"/>
      <c r="AC240" s="38"/>
    </row>
    <row r="241" ht="12.75" customHeight="1">
      <c r="B241" s="12"/>
      <c r="C241" s="104"/>
      <c r="D241" s="12"/>
      <c r="E241" s="12"/>
      <c r="F241" s="12"/>
      <c r="G241" s="12"/>
      <c r="H241" s="12"/>
      <c r="I241" s="12"/>
      <c r="J241" s="12"/>
      <c r="K241" s="12"/>
      <c r="L241" s="12"/>
      <c r="M241" s="12"/>
      <c r="N241" s="12"/>
      <c r="O241" s="12"/>
      <c r="P241" s="12"/>
      <c r="Q241" s="12"/>
      <c r="R241" s="12"/>
      <c r="S241" s="12"/>
      <c r="T241" s="12"/>
      <c r="U241" s="12"/>
      <c r="V241" s="12"/>
      <c r="W241" s="12"/>
      <c r="X241" s="12"/>
      <c r="Y241" s="12"/>
      <c r="Z241" s="12"/>
      <c r="AA241" s="12"/>
      <c r="AB241" s="12"/>
      <c r="AC241" s="38"/>
    </row>
    <row r="242" ht="12.75" customHeight="1">
      <c r="B242" s="12"/>
      <c r="C242" s="104"/>
      <c r="D242" s="12"/>
      <c r="E242" s="12"/>
      <c r="F242" s="12"/>
      <c r="G242" s="12"/>
      <c r="H242" s="12"/>
      <c r="I242" s="12"/>
      <c r="J242" s="12"/>
      <c r="K242" s="12"/>
      <c r="L242" s="12"/>
      <c r="M242" s="12"/>
      <c r="N242" s="12"/>
      <c r="O242" s="12"/>
      <c r="P242" s="12"/>
      <c r="Q242" s="12"/>
      <c r="R242" s="12"/>
      <c r="S242" s="12"/>
      <c r="T242" s="12"/>
      <c r="U242" s="12"/>
      <c r="V242" s="12"/>
      <c r="W242" s="12"/>
      <c r="X242" s="12"/>
      <c r="Y242" s="12"/>
      <c r="Z242" s="12"/>
      <c r="AA242" s="12"/>
      <c r="AB242" s="12"/>
      <c r="AC242" s="38"/>
    </row>
    <row r="243" ht="12.75" customHeight="1">
      <c r="B243" s="12"/>
      <c r="C243" s="104"/>
      <c r="D243" s="12"/>
      <c r="E243" s="12"/>
      <c r="F243" s="12"/>
      <c r="G243" s="12"/>
      <c r="H243" s="12"/>
      <c r="I243" s="12"/>
      <c r="J243" s="12"/>
      <c r="K243" s="12"/>
      <c r="L243" s="12"/>
      <c r="M243" s="12"/>
      <c r="N243" s="12"/>
      <c r="O243" s="12"/>
      <c r="P243" s="12"/>
      <c r="Q243" s="12"/>
      <c r="R243" s="12"/>
      <c r="S243" s="12"/>
      <c r="T243" s="12"/>
      <c r="U243" s="12"/>
      <c r="V243" s="12"/>
      <c r="W243" s="12"/>
      <c r="X243" s="12"/>
      <c r="Y243" s="12"/>
      <c r="Z243" s="12"/>
      <c r="AA243" s="12"/>
      <c r="AB243" s="12"/>
      <c r="AC243" s="38"/>
    </row>
    <row r="244" ht="12.75" customHeight="1">
      <c r="B244" s="12"/>
      <c r="C244" s="104"/>
      <c r="D244" s="12"/>
      <c r="E244" s="12"/>
      <c r="F244" s="12"/>
      <c r="G244" s="12"/>
      <c r="H244" s="12"/>
      <c r="I244" s="12"/>
      <c r="J244" s="12"/>
      <c r="K244" s="12"/>
      <c r="L244" s="12"/>
      <c r="M244" s="12"/>
      <c r="N244" s="12"/>
      <c r="O244" s="12"/>
      <c r="P244" s="12"/>
      <c r="Q244" s="12"/>
      <c r="R244" s="12"/>
      <c r="S244" s="12"/>
      <c r="T244" s="12"/>
      <c r="U244" s="12"/>
      <c r="V244" s="12"/>
      <c r="W244" s="12"/>
      <c r="X244" s="12"/>
      <c r="Y244" s="12"/>
      <c r="Z244" s="12"/>
      <c r="AA244" s="12"/>
      <c r="AB244" s="12"/>
      <c r="AC244" s="38"/>
    </row>
    <row r="245" ht="12.75" customHeight="1">
      <c r="B245" s="12"/>
      <c r="C245" s="104"/>
      <c r="D245" s="12"/>
      <c r="E245" s="12"/>
      <c r="F245" s="12"/>
      <c r="G245" s="12"/>
      <c r="H245" s="12"/>
      <c r="I245" s="12"/>
      <c r="J245" s="12"/>
      <c r="K245" s="12"/>
      <c r="L245" s="12"/>
      <c r="M245" s="12"/>
      <c r="N245" s="12"/>
      <c r="O245" s="12"/>
      <c r="P245" s="12"/>
      <c r="Q245" s="12"/>
      <c r="R245" s="12"/>
      <c r="S245" s="12"/>
      <c r="T245" s="12"/>
      <c r="U245" s="12"/>
      <c r="V245" s="12"/>
      <c r="W245" s="12"/>
      <c r="X245" s="12"/>
      <c r="Y245" s="12"/>
      <c r="Z245" s="12"/>
      <c r="AA245" s="12"/>
      <c r="AB245" s="12"/>
      <c r="AC245" s="38"/>
    </row>
    <row r="246" ht="12.75" customHeight="1">
      <c r="B246" s="12"/>
      <c r="C246" s="104"/>
      <c r="D246" s="12"/>
      <c r="E246" s="12"/>
      <c r="F246" s="12"/>
      <c r="G246" s="12"/>
      <c r="H246" s="12"/>
      <c r="I246" s="12"/>
      <c r="J246" s="12"/>
      <c r="K246" s="12"/>
      <c r="L246" s="12"/>
      <c r="M246" s="12"/>
      <c r="N246" s="12"/>
      <c r="O246" s="12"/>
      <c r="P246" s="12"/>
      <c r="Q246" s="12"/>
      <c r="R246" s="12"/>
      <c r="S246" s="12"/>
      <c r="T246" s="12"/>
      <c r="U246" s="12"/>
      <c r="V246" s="12"/>
      <c r="W246" s="12"/>
      <c r="X246" s="12"/>
      <c r="Y246" s="12"/>
      <c r="Z246" s="12"/>
      <c r="AA246" s="12"/>
      <c r="AB246" s="12"/>
      <c r="AC246" s="38"/>
    </row>
    <row r="247" ht="12.75" customHeight="1">
      <c r="B247" s="12"/>
      <c r="C247" s="104"/>
      <c r="D247" s="12"/>
      <c r="E247" s="12"/>
      <c r="F247" s="12"/>
      <c r="G247" s="12"/>
      <c r="H247" s="12"/>
      <c r="I247" s="12"/>
      <c r="J247" s="12"/>
      <c r="K247" s="12"/>
      <c r="L247" s="12"/>
      <c r="M247" s="12"/>
      <c r="N247" s="12"/>
      <c r="O247" s="12"/>
      <c r="P247" s="12"/>
      <c r="Q247" s="12"/>
      <c r="R247" s="12"/>
      <c r="S247" s="12"/>
      <c r="T247" s="12"/>
      <c r="U247" s="12"/>
      <c r="V247" s="12"/>
      <c r="W247" s="12"/>
      <c r="X247" s="12"/>
      <c r="Y247" s="12"/>
      <c r="Z247" s="12"/>
      <c r="AA247" s="12"/>
      <c r="AB247" s="12"/>
      <c r="AC247" s="38"/>
    </row>
    <row r="248" ht="12.75" customHeight="1">
      <c r="B248" s="12"/>
      <c r="C248" s="104"/>
      <c r="D248" s="12"/>
      <c r="E248" s="12"/>
      <c r="F248" s="12"/>
      <c r="G248" s="12"/>
      <c r="H248" s="12"/>
      <c r="I248" s="12"/>
      <c r="J248" s="12"/>
      <c r="K248" s="12"/>
      <c r="L248" s="12"/>
      <c r="M248" s="12"/>
      <c r="N248" s="12"/>
      <c r="O248" s="12"/>
      <c r="P248" s="12"/>
      <c r="Q248" s="12"/>
      <c r="R248" s="12"/>
      <c r="S248" s="12"/>
      <c r="T248" s="12"/>
      <c r="U248" s="12"/>
      <c r="V248" s="12"/>
      <c r="W248" s="12"/>
      <c r="X248" s="12"/>
      <c r="Y248" s="12"/>
      <c r="Z248" s="12"/>
      <c r="AA248" s="12"/>
      <c r="AB248" s="12"/>
      <c r="AC248" s="38"/>
    </row>
    <row r="249" ht="12.75" customHeight="1">
      <c r="B249" s="12"/>
      <c r="C249" s="104"/>
      <c r="D249" s="12"/>
      <c r="E249" s="12"/>
      <c r="F249" s="12"/>
      <c r="G249" s="12"/>
      <c r="H249" s="12"/>
      <c r="I249" s="12"/>
      <c r="J249" s="12"/>
      <c r="K249" s="12"/>
      <c r="L249" s="12"/>
      <c r="M249" s="12"/>
      <c r="N249" s="12"/>
      <c r="O249" s="12"/>
      <c r="P249" s="12"/>
      <c r="Q249" s="12"/>
      <c r="R249" s="12"/>
      <c r="S249" s="12"/>
      <c r="T249" s="12"/>
      <c r="U249" s="12"/>
      <c r="V249" s="12"/>
      <c r="W249" s="12"/>
      <c r="X249" s="12"/>
      <c r="Y249" s="12"/>
      <c r="Z249" s="12"/>
      <c r="AA249" s="12"/>
      <c r="AB249" s="12"/>
      <c r="AC249" s="38"/>
    </row>
    <row r="250" ht="12.75" customHeight="1">
      <c r="B250" s="12"/>
      <c r="C250" s="104"/>
      <c r="D250" s="12"/>
      <c r="E250" s="12"/>
      <c r="F250" s="12"/>
      <c r="G250" s="12"/>
      <c r="H250" s="12"/>
      <c r="I250" s="12"/>
      <c r="J250" s="12"/>
      <c r="K250" s="12"/>
      <c r="L250" s="12"/>
      <c r="M250" s="12"/>
      <c r="N250" s="12"/>
      <c r="O250" s="12"/>
      <c r="P250" s="12"/>
      <c r="Q250" s="12"/>
      <c r="R250" s="12"/>
      <c r="S250" s="12"/>
      <c r="T250" s="12"/>
      <c r="U250" s="12"/>
      <c r="V250" s="12"/>
      <c r="W250" s="12"/>
      <c r="X250" s="12"/>
      <c r="Y250" s="12"/>
      <c r="Z250" s="12"/>
      <c r="AA250" s="12"/>
      <c r="AB250" s="12"/>
      <c r="AC250" s="38"/>
    </row>
    <row r="251" ht="12.75" customHeight="1">
      <c r="B251" s="12"/>
      <c r="C251" s="104"/>
      <c r="D251" s="12"/>
      <c r="E251" s="12"/>
      <c r="F251" s="12"/>
      <c r="G251" s="12"/>
      <c r="H251" s="12"/>
      <c r="I251" s="12"/>
      <c r="J251" s="12"/>
      <c r="K251" s="12"/>
      <c r="L251" s="12"/>
      <c r="M251" s="12"/>
      <c r="N251" s="12"/>
      <c r="O251" s="12"/>
      <c r="P251" s="12"/>
      <c r="Q251" s="12"/>
      <c r="R251" s="12"/>
      <c r="S251" s="12"/>
      <c r="T251" s="12"/>
      <c r="U251" s="12"/>
      <c r="V251" s="12"/>
      <c r="W251" s="12"/>
      <c r="X251" s="12"/>
      <c r="Y251" s="12"/>
      <c r="Z251" s="12"/>
      <c r="AA251" s="12"/>
      <c r="AB251" s="12"/>
      <c r="AC251" s="38"/>
    </row>
    <row r="252" ht="12.75" customHeight="1">
      <c r="B252" s="12"/>
      <c r="C252" s="104"/>
      <c r="D252" s="12"/>
      <c r="E252" s="12"/>
      <c r="F252" s="12"/>
      <c r="G252" s="12"/>
      <c r="H252" s="12"/>
      <c r="I252" s="12"/>
      <c r="J252" s="12"/>
      <c r="K252" s="12"/>
      <c r="L252" s="12"/>
      <c r="M252" s="12"/>
      <c r="N252" s="12"/>
      <c r="O252" s="12"/>
      <c r="P252" s="12"/>
      <c r="Q252" s="12"/>
      <c r="R252" s="12"/>
      <c r="S252" s="12"/>
      <c r="T252" s="12"/>
      <c r="U252" s="12"/>
      <c r="V252" s="12"/>
      <c r="W252" s="12"/>
      <c r="X252" s="12"/>
      <c r="Y252" s="12"/>
      <c r="Z252" s="12"/>
      <c r="AA252" s="12"/>
      <c r="AB252" s="12"/>
      <c r="AC252" s="38"/>
    </row>
    <row r="253" ht="12.75" customHeight="1">
      <c r="B253" s="12"/>
      <c r="C253" s="104"/>
      <c r="D253" s="12"/>
      <c r="E253" s="12"/>
      <c r="F253" s="12"/>
      <c r="G253" s="12"/>
      <c r="H253" s="12"/>
      <c r="I253" s="12"/>
      <c r="J253" s="12"/>
      <c r="K253" s="12"/>
      <c r="L253" s="12"/>
      <c r="M253" s="12"/>
      <c r="N253" s="12"/>
      <c r="O253" s="12"/>
      <c r="P253" s="12"/>
      <c r="Q253" s="12"/>
      <c r="R253" s="12"/>
      <c r="S253" s="12"/>
      <c r="T253" s="12"/>
      <c r="U253" s="12"/>
      <c r="V253" s="12"/>
      <c r="W253" s="12"/>
      <c r="X253" s="12"/>
      <c r="Y253" s="12"/>
      <c r="Z253" s="12"/>
      <c r="AA253" s="12"/>
      <c r="AB253" s="12"/>
      <c r="AC253" s="38"/>
    </row>
    <row r="254" ht="12.75" customHeight="1">
      <c r="B254" s="12"/>
      <c r="C254" s="104"/>
      <c r="D254" s="12"/>
      <c r="E254" s="12"/>
      <c r="F254" s="12"/>
      <c r="G254" s="12"/>
      <c r="H254" s="12"/>
      <c r="I254" s="12"/>
      <c r="J254" s="12"/>
      <c r="K254" s="12"/>
      <c r="L254" s="12"/>
      <c r="M254" s="12"/>
      <c r="N254" s="12"/>
      <c r="O254" s="12"/>
      <c r="P254" s="12"/>
      <c r="Q254" s="12"/>
      <c r="R254" s="12"/>
      <c r="S254" s="12"/>
      <c r="T254" s="12"/>
      <c r="U254" s="12"/>
      <c r="V254" s="12"/>
      <c r="W254" s="12"/>
      <c r="X254" s="12"/>
      <c r="Y254" s="12"/>
      <c r="Z254" s="12"/>
      <c r="AA254" s="12"/>
      <c r="AB254" s="12"/>
      <c r="AC254" s="38"/>
    </row>
    <row r="255" ht="12.75" customHeight="1">
      <c r="B255" s="12"/>
      <c r="C255" s="104"/>
      <c r="D255" s="12"/>
      <c r="E255" s="12"/>
      <c r="F255" s="12"/>
      <c r="G255" s="12"/>
      <c r="H255" s="12"/>
      <c r="I255" s="12"/>
      <c r="J255" s="12"/>
      <c r="K255" s="12"/>
      <c r="L255" s="12"/>
      <c r="M255" s="12"/>
      <c r="N255" s="12"/>
      <c r="O255" s="12"/>
      <c r="P255" s="12"/>
      <c r="Q255" s="12"/>
      <c r="R255" s="12"/>
      <c r="S255" s="12"/>
      <c r="T255" s="12"/>
      <c r="U255" s="12"/>
      <c r="V255" s="12"/>
      <c r="W255" s="12"/>
      <c r="X255" s="12"/>
      <c r="Y255" s="12"/>
      <c r="Z255" s="12"/>
      <c r="AA255" s="12"/>
      <c r="AB255" s="12"/>
      <c r="AC255" s="38"/>
    </row>
    <row r="256" ht="12.75" customHeight="1">
      <c r="B256" s="12"/>
      <c r="C256" s="104"/>
      <c r="D256" s="12"/>
      <c r="E256" s="12"/>
      <c r="F256" s="12"/>
      <c r="G256" s="12"/>
      <c r="H256" s="12"/>
      <c r="I256" s="12"/>
      <c r="J256" s="12"/>
      <c r="K256" s="12"/>
      <c r="L256" s="12"/>
      <c r="M256" s="12"/>
      <c r="N256" s="12"/>
      <c r="O256" s="12"/>
      <c r="P256" s="12"/>
      <c r="Q256" s="12"/>
      <c r="R256" s="12"/>
      <c r="S256" s="12"/>
      <c r="T256" s="12"/>
      <c r="U256" s="12"/>
      <c r="V256" s="12"/>
      <c r="W256" s="12"/>
      <c r="X256" s="12"/>
      <c r="Y256" s="12"/>
      <c r="Z256" s="12"/>
      <c r="AA256" s="12"/>
      <c r="AB256" s="12"/>
      <c r="AC256" s="38"/>
    </row>
    <row r="257" ht="12.75" customHeight="1">
      <c r="B257" s="12"/>
      <c r="C257" s="104"/>
      <c r="D257" s="12"/>
      <c r="E257" s="12"/>
      <c r="F257" s="12"/>
      <c r="G257" s="12"/>
      <c r="H257" s="12"/>
      <c r="I257" s="12"/>
      <c r="J257" s="12"/>
      <c r="K257" s="12"/>
      <c r="L257" s="12"/>
      <c r="M257" s="12"/>
      <c r="N257" s="12"/>
      <c r="O257" s="12"/>
      <c r="P257" s="12"/>
      <c r="Q257" s="12"/>
      <c r="R257" s="12"/>
      <c r="S257" s="12"/>
      <c r="T257" s="12"/>
      <c r="U257" s="12"/>
      <c r="V257" s="12"/>
      <c r="W257" s="12"/>
      <c r="X257" s="12"/>
      <c r="Y257" s="12"/>
      <c r="Z257" s="12"/>
      <c r="AA257" s="12"/>
      <c r="AB257" s="12"/>
      <c r="AC257" s="38"/>
    </row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autoFilter ref="$A$1:$L$50"/>
  <dataValidations>
    <dataValidation type="decimal" allowBlank="1" showErrorMessage="1" sqref="F2:F50">
      <formula1>0.0</formula1>
      <formula2>1.0</formula2>
    </dataValidation>
    <dataValidation type="list" allowBlank="1" showErrorMessage="1" sqref="B2:B50">
      <formula1>'Ceník dřeva'!$A$2:$A$18</formula1>
    </dataValidation>
  </dataValidations>
  <printOptions/>
  <pageMargins bottom="0.75" footer="0.0" header="0.0" left="0.7" right="0.7" top="0.75"/>
  <pageSetup orientation="portrait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92D050"/>
    <pageSetUpPr/>
  </sheetPr>
  <sheetViews>
    <sheetView workbookViewId="0"/>
  </sheetViews>
  <sheetFormatPr customHeight="1" defaultColWidth="14.43" defaultRowHeight="15.0"/>
  <cols>
    <col customWidth="1" min="1" max="1" width="23.0"/>
    <col customWidth="1" min="2" max="2" width="27.29"/>
    <col customWidth="1" min="3" max="3" width="27.86"/>
    <col customWidth="1" min="4" max="4" width="19.29"/>
    <col customWidth="1" min="5" max="5" width="7.0"/>
    <col customWidth="1" min="6" max="6" width="26.71"/>
    <col customWidth="1" min="7" max="26" width="8.71"/>
  </cols>
  <sheetData>
    <row r="1" ht="12.75" customHeight="1"/>
    <row r="2" ht="12.75" customHeight="1"/>
    <row r="3" ht="12.75" customHeight="1"/>
    <row r="4" ht="12.75" customHeight="1"/>
    <row r="5" ht="12.75" customHeight="1"/>
    <row r="6" ht="12.75" customHeight="1">
      <c r="A6" s="27"/>
      <c r="B6" s="32"/>
      <c r="C6" s="32"/>
    </row>
    <row r="7" ht="12.75" customHeight="1"/>
    <row r="8" ht="12.75" customHeight="1"/>
    <row r="9" ht="12.75" customHeight="1"/>
    <row r="10" ht="12.75" customHeight="1"/>
    <row r="11" ht="12.75" customHeight="1"/>
    <row r="12" ht="12.75" customHeight="1"/>
    <row r="13" ht="12.75" customHeight="1"/>
    <row r="14" ht="12.75" customHeight="1"/>
    <row r="15" ht="12.75" customHeight="1"/>
    <row r="16" ht="12.75" customHeight="1"/>
    <row r="17" ht="12.75" customHeight="1"/>
    <row r="18" ht="12.75" customHeight="1"/>
    <row r="19" ht="12.75" customHeight="1"/>
    <row r="20" ht="12.75" customHeight="1"/>
    <row r="21" ht="12.75" customHeight="1"/>
    <row r="22" ht="12.75" customHeight="1"/>
    <row r="23" ht="12.75" customHeight="1"/>
    <row r="24" ht="12.75" customHeight="1"/>
    <row r="25" ht="12.75" customHeight="1"/>
    <row r="26" ht="12.75" customHeight="1"/>
    <row r="27" ht="12.75" customHeight="1"/>
    <row r="28" ht="12.75" customHeight="1"/>
    <row r="29" ht="12.75" customHeight="1"/>
    <row r="30" ht="12.75" customHeight="1"/>
    <row r="31" ht="12.75" customHeight="1"/>
    <row r="32" ht="12.75" customHeight="1"/>
    <row r="33" ht="12.75" customHeight="1"/>
    <row r="34" ht="12.75" customHeight="1"/>
    <row r="35" ht="12.75" customHeight="1"/>
    <row r="36" ht="12.75" customHeight="1"/>
    <row r="37" ht="12.75" customHeight="1"/>
    <row r="38" ht="12.75" customHeight="1"/>
    <row r="39" ht="12.75" customHeight="1"/>
    <row r="40" ht="12.75" customHeight="1"/>
    <row r="41" ht="12.75" customHeight="1"/>
    <row r="42" ht="12.75" customHeight="1"/>
    <row r="43" ht="12.75" customHeight="1"/>
    <row r="44" ht="12.75" customHeight="1"/>
    <row r="45" ht="12.75" customHeight="1"/>
    <row r="46" ht="12.75" customHeight="1"/>
    <row r="47" ht="12.75" customHeight="1"/>
    <row r="48" ht="12.75" customHeight="1"/>
    <row r="49" ht="12.75" customHeight="1"/>
    <row r="50" ht="12.75" customHeight="1"/>
    <row r="51" ht="12.75" customHeight="1"/>
    <row r="52" ht="12.75" customHeight="1"/>
    <row r="53" ht="12.75" customHeight="1"/>
    <row r="54" ht="12.75" customHeight="1"/>
    <row r="55" ht="12.75" customHeight="1"/>
    <row r="56" ht="12.75" customHeight="1"/>
    <row r="57" ht="12.75" customHeight="1"/>
    <row r="58" ht="12.75" customHeight="1"/>
    <row r="59" ht="12.75" customHeight="1"/>
    <row r="60" ht="12.75" customHeight="1"/>
    <row r="61" ht="12.75" customHeight="1"/>
    <row r="62" ht="12.75" customHeight="1"/>
    <row r="63" ht="12.75" customHeight="1"/>
    <row r="64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printOptions/>
  <pageMargins bottom="0.787401575" footer="0.0" header="0.0" left="0.7" right="0.7" top="0.787401575"/>
  <pageSetup orientation="landscape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A5A5A5"/>
    <pageSetUpPr/>
  </sheetPr>
  <sheetViews>
    <sheetView workbookViewId="0"/>
  </sheetViews>
  <sheetFormatPr customHeight="1" defaultColWidth="14.43" defaultRowHeight="15.0"/>
  <cols>
    <col customWidth="1" min="1" max="1" width="16.86"/>
    <col customWidth="1" min="2" max="2" width="16.71"/>
    <col customWidth="1" hidden="1" min="3" max="3" width="16.71"/>
    <col customWidth="1" min="4" max="4" width="16.71"/>
    <col customWidth="1" hidden="1" min="5" max="6" width="16.71"/>
    <col customWidth="1" min="7" max="26" width="8.71"/>
  </cols>
  <sheetData>
    <row r="1" ht="12.75" customHeight="1">
      <c r="A1" s="1" t="s">
        <v>0</v>
      </c>
      <c r="B1" s="2">
        <v>32.0</v>
      </c>
      <c r="C1" s="2">
        <v>40.0</v>
      </c>
      <c r="D1" s="2">
        <v>50.0</v>
      </c>
      <c r="E1" s="2">
        <v>60.0</v>
      </c>
      <c r="F1" s="2" t="s">
        <v>2</v>
      </c>
    </row>
    <row r="2" ht="12.75" customHeight="1">
      <c r="A2" s="5" t="s">
        <v>4</v>
      </c>
      <c r="B2" s="7">
        <v>21900.0</v>
      </c>
      <c r="C2" s="10"/>
      <c r="D2" s="7">
        <v>29900.0</v>
      </c>
      <c r="E2" s="19"/>
      <c r="F2" s="21"/>
    </row>
    <row r="3" ht="12.75" customHeight="1">
      <c r="A3" s="24" t="s">
        <v>26</v>
      </c>
      <c r="B3" s="26">
        <v>11000.0</v>
      </c>
      <c r="C3" s="29"/>
      <c r="D3" s="26">
        <v>12300.0</v>
      </c>
      <c r="E3" s="30"/>
      <c r="F3" s="31"/>
    </row>
    <row r="4" ht="12.75" customHeight="1">
      <c r="A4" s="5" t="s">
        <v>28</v>
      </c>
      <c r="B4" s="7">
        <v>13000.0</v>
      </c>
      <c r="C4" s="10"/>
      <c r="D4" s="7">
        <v>14500.0</v>
      </c>
      <c r="E4" s="19"/>
      <c r="F4" s="21"/>
    </row>
    <row r="5" ht="12.75" customHeight="1">
      <c r="A5" s="24" t="s">
        <v>29</v>
      </c>
      <c r="B5" s="26">
        <v>13000.0</v>
      </c>
      <c r="C5" s="29"/>
      <c r="D5" s="26">
        <v>14000.0</v>
      </c>
      <c r="E5" s="30"/>
      <c r="F5" s="31"/>
    </row>
    <row r="6" ht="12.75" customHeight="1">
      <c r="A6" s="5" t="s">
        <v>30</v>
      </c>
      <c r="B6" s="7">
        <v>11500.0</v>
      </c>
      <c r="C6" s="10"/>
      <c r="D6" s="7">
        <v>12300.0</v>
      </c>
      <c r="E6" s="19"/>
      <c r="F6" s="21"/>
    </row>
    <row r="7" ht="12.75" customHeight="1">
      <c r="A7" s="34" t="s">
        <v>31</v>
      </c>
      <c r="B7" s="26"/>
      <c r="C7" s="29"/>
      <c r="D7" s="26">
        <v>12100.0</v>
      </c>
      <c r="E7" s="30"/>
      <c r="F7" s="31"/>
    </row>
    <row r="8" ht="12.75" customHeight="1">
      <c r="A8" s="35" t="s">
        <v>32</v>
      </c>
      <c r="B8" s="7">
        <v>11000.0</v>
      </c>
      <c r="C8" s="10"/>
      <c r="D8" s="7">
        <v>11500.0</v>
      </c>
      <c r="E8" s="19"/>
      <c r="F8" s="21"/>
    </row>
    <row r="9" ht="12.75" customHeight="1">
      <c r="A9" s="36" t="s">
        <v>33</v>
      </c>
      <c r="B9" s="26">
        <v>11500.0</v>
      </c>
      <c r="C9" s="29"/>
      <c r="D9" s="26">
        <v>12500.0</v>
      </c>
      <c r="E9" s="30"/>
      <c r="F9" s="31"/>
    </row>
    <row r="10" ht="12.75" customHeight="1">
      <c r="A10" s="35" t="s">
        <v>34</v>
      </c>
      <c r="B10" s="7">
        <v>10500.0</v>
      </c>
      <c r="C10" s="10"/>
      <c r="D10" s="7">
        <v>11500.0</v>
      </c>
      <c r="E10" s="19"/>
      <c r="F10" s="21"/>
    </row>
    <row r="11" ht="12.75" customHeight="1">
      <c r="A11" s="36" t="s">
        <v>35</v>
      </c>
      <c r="B11" s="26">
        <v>24000.0</v>
      </c>
      <c r="C11" s="29"/>
      <c r="D11" s="26">
        <v>30500.0</v>
      </c>
      <c r="E11" s="30"/>
      <c r="F11" s="31"/>
    </row>
    <row r="12" ht="12.75" customHeight="1">
      <c r="A12" s="35" t="s">
        <v>36</v>
      </c>
      <c r="B12" s="7">
        <v>8500.0</v>
      </c>
      <c r="C12" s="10"/>
      <c r="D12" s="7">
        <v>8900.0</v>
      </c>
      <c r="E12" s="19"/>
      <c r="F12" s="21"/>
    </row>
    <row r="13" ht="12.75" customHeight="1">
      <c r="A13" s="36" t="s">
        <v>37</v>
      </c>
      <c r="B13" s="26">
        <v>8000.0</v>
      </c>
      <c r="C13" s="29"/>
      <c r="D13" s="26">
        <v>8400.0</v>
      </c>
      <c r="E13" s="30"/>
      <c r="F13" s="31"/>
    </row>
    <row r="14" ht="12.75" customHeight="1">
      <c r="A14" s="35" t="s">
        <v>38</v>
      </c>
      <c r="B14" s="7">
        <v>10000.0</v>
      </c>
      <c r="C14" s="10"/>
      <c r="D14" s="7">
        <v>10500.0</v>
      </c>
      <c r="E14" s="19"/>
      <c r="F14" s="21"/>
    </row>
    <row r="15" ht="12.75" customHeight="1">
      <c r="A15" s="36" t="s">
        <v>39</v>
      </c>
      <c r="B15" s="26"/>
      <c r="C15" s="29"/>
      <c r="D15" s="26"/>
      <c r="E15" s="30"/>
      <c r="F15" s="31"/>
    </row>
    <row r="16" ht="12.75" customHeight="1">
      <c r="A16" s="35" t="s">
        <v>40</v>
      </c>
      <c r="B16" s="7">
        <v>15000.0</v>
      </c>
      <c r="C16" s="10"/>
      <c r="D16" s="7">
        <v>16000.0</v>
      </c>
      <c r="E16" s="19"/>
      <c r="F16" s="21"/>
    </row>
    <row r="17" ht="12.75" customHeight="1">
      <c r="A17" s="37" t="s">
        <v>41</v>
      </c>
      <c r="B17" s="26"/>
      <c r="C17" s="29"/>
      <c r="D17" s="26"/>
      <c r="E17" s="30"/>
      <c r="F17" s="31"/>
    </row>
    <row r="18" ht="12.75" customHeight="1">
      <c r="A18" s="5" t="s">
        <v>20</v>
      </c>
      <c r="B18" s="7">
        <v>0.0</v>
      </c>
      <c r="C18" s="10"/>
      <c r="D18" s="7">
        <v>0.0</v>
      </c>
    </row>
    <row r="19" ht="12.75" customHeight="1"/>
    <row r="20" ht="12.75" customHeight="1"/>
    <row r="21" ht="12.75" customHeight="1"/>
    <row r="22" ht="12.75" customHeight="1"/>
    <row r="23" ht="12.75" customHeight="1"/>
    <row r="24" ht="12.75" customHeight="1"/>
    <row r="25" ht="12.75" customHeight="1"/>
    <row r="26" ht="12.75" customHeight="1"/>
    <row r="27" ht="12.75" customHeight="1"/>
    <row r="28" ht="12.75" customHeight="1"/>
    <row r="29" ht="12.75" customHeight="1"/>
    <row r="30" ht="12.75" customHeight="1"/>
    <row r="31" ht="12.75" customHeight="1"/>
    <row r="32" ht="12.75" customHeight="1"/>
    <row r="33" ht="12.75" customHeight="1"/>
    <row r="34" ht="12.75" customHeight="1"/>
    <row r="35" ht="12.75" customHeight="1"/>
    <row r="36" ht="12.75" customHeight="1"/>
    <row r="37" ht="12.75" customHeight="1"/>
    <row r="38" ht="12.75" customHeight="1"/>
    <row r="39" ht="12.75" customHeight="1"/>
    <row r="40" ht="12.75" customHeight="1"/>
    <row r="41" ht="12.75" customHeight="1"/>
    <row r="42" ht="12.75" customHeight="1"/>
    <row r="43" ht="12.75" customHeight="1"/>
    <row r="44" ht="12.75" customHeight="1"/>
    <row r="45" ht="12.75" customHeight="1"/>
    <row r="46" ht="12.75" customHeight="1"/>
    <row r="47" ht="12.75" customHeight="1"/>
    <row r="48" ht="12.75" customHeight="1"/>
    <row r="49" ht="12.75" customHeight="1"/>
    <row r="50" ht="12.75" customHeight="1"/>
    <row r="51" ht="12.75" customHeight="1"/>
    <row r="52" ht="12.75" customHeight="1"/>
    <row r="53" ht="12.75" customHeight="1"/>
    <row r="54" ht="12.75" customHeight="1"/>
    <row r="55" ht="12.75" customHeight="1"/>
    <row r="56" ht="12.75" customHeight="1"/>
    <row r="57" ht="12.75" customHeight="1"/>
    <row r="58" ht="12.75" customHeight="1"/>
    <row r="59" ht="12.75" customHeight="1"/>
    <row r="60" ht="12.75" customHeight="1"/>
    <row r="61" ht="12.75" customHeight="1"/>
    <row r="62" ht="12.75" customHeight="1"/>
    <row r="63" ht="12.75" customHeight="1"/>
    <row r="64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printOptions/>
  <pageMargins bottom="0.75" footer="0.0" header="0.0" left="0.7" right="0.7" top="0.75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A5A5A5"/>
    <pageSetUpPr/>
  </sheetPr>
  <sheetViews>
    <sheetView workbookViewId="0"/>
  </sheetViews>
  <sheetFormatPr customHeight="1" defaultColWidth="14.43" defaultRowHeight="15.0"/>
  <cols>
    <col customWidth="1" min="1" max="1" width="15.14"/>
    <col customWidth="1" min="2" max="2" width="22.0"/>
    <col customWidth="1" min="3" max="3" width="28.86"/>
    <col customWidth="1" min="4" max="4" width="11.0"/>
    <col customWidth="1" min="5" max="26" width="8.71"/>
  </cols>
  <sheetData>
    <row r="1" ht="12.75" customHeight="1"/>
    <row r="2" ht="12.75" customHeight="1">
      <c r="A2" s="39" t="s">
        <v>42</v>
      </c>
      <c r="B2" s="40"/>
      <c r="C2" s="40"/>
      <c r="D2" s="41"/>
    </row>
    <row r="3" ht="12.75" customHeight="1">
      <c r="A3" s="42" t="s">
        <v>43</v>
      </c>
      <c r="B3" s="43" t="s">
        <v>44</v>
      </c>
      <c r="C3" s="43" t="s">
        <v>45</v>
      </c>
      <c r="D3" s="44" t="s">
        <v>46</v>
      </c>
    </row>
    <row r="4" ht="12.75" customHeight="1">
      <c r="A4" s="45"/>
      <c r="B4" s="9" t="s">
        <v>47</v>
      </c>
      <c r="D4" s="46">
        <v>9.0</v>
      </c>
    </row>
    <row r="5" ht="12.75" customHeight="1">
      <c r="A5" s="45"/>
      <c r="B5" s="9" t="s">
        <v>48</v>
      </c>
      <c r="D5" s="46">
        <v>17.0</v>
      </c>
    </row>
    <row r="6" ht="12.75" customHeight="1">
      <c r="A6" s="47"/>
      <c r="B6" s="48" t="s">
        <v>49</v>
      </c>
      <c r="C6" s="49">
        <v>200.0</v>
      </c>
      <c r="D6" s="50">
        <v>3.0</v>
      </c>
    </row>
    <row r="7" ht="12.75" customHeight="1">
      <c r="A7" s="51" t="s">
        <v>50</v>
      </c>
      <c r="B7" s="43" t="s">
        <v>44</v>
      </c>
      <c r="C7" s="43" t="s">
        <v>45</v>
      </c>
      <c r="D7" s="44" t="s">
        <v>51</v>
      </c>
    </row>
    <row r="8" ht="12.75" customHeight="1">
      <c r="A8" s="52"/>
      <c r="B8" s="9" t="s">
        <v>52</v>
      </c>
      <c r="C8" s="9"/>
      <c r="D8" s="46">
        <v>30.0</v>
      </c>
    </row>
    <row r="9" ht="12.75" customHeight="1">
      <c r="A9" s="52"/>
      <c r="B9" s="9" t="s">
        <v>53</v>
      </c>
      <c r="C9" s="9"/>
      <c r="D9" s="46">
        <v>260.0</v>
      </c>
      <c r="G9" s="4">
        <v>250000.0</v>
      </c>
      <c r="H9" s="4">
        <v>1000.0</v>
      </c>
      <c r="I9" s="4">
        <v>10.0</v>
      </c>
    </row>
    <row r="10" ht="12.75" customHeight="1">
      <c r="A10" s="52"/>
      <c r="B10" s="9" t="s">
        <v>54</v>
      </c>
      <c r="C10" s="9"/>
      <c r="D10" s="46">
        <v>140.0</v>
      </c>
      <c r="G10" s="4">
        <v>100000.0</v>
      </c>
      <c r="H10" s="4">
        <v>1000.0</v>
      </c>
      <c r="J10" s="4">
        <v>6000.0</v>
      </c>
      <c r="K10" s="4">
        <v>200.0</v>
      </c>
      <c r="L10" s="4">
        <f>J10/K10</f>
        <v>30</v>
      </c>
    </row>
    <row r="11" ht="12.75" customHeight="1">
      <c r="A11" s="52"/>
      <c r="B11" s="9" t="s">
        <v>55</v>
      </c>
      <c r="C11" s="9"/>
      <c r="D11" s="46">
        <v>250.0</v>
      </c>
    </row>
    <row r="12" ht="12.75" customHeight="1">
      <c r="A12" s="52"/>
      <c r="B12" s="9" t="s">
        <v>57</v>
      </c>
      <c r="C12" s="9" t="s">
        <v>58</v>
      </c>
      <c r="D12" s="53">
        <v>200.0</v>
      </c>
    </row>
    <row r="13" ht="12.75" customHeight="1">
      <c r="A13" s="52"/>
      <c r="B13" s="9" t="s">
        <v>59</v>
      </c>
      <c r="C13" s="9" t="s">
        <v>60</v>
      </c>
      <c r="D13" s="53">
        <v>500.0</v>
      </c>
    </row>
    <row r="14" ht="12.75" customHeight="1">
      <c r="A14" s="52"/>
      <c r="B14" s="55" t="s">
        <v>61</v>
      </c>
      <c r="C14" s="9"/>
      <c r="D14" s="53">
        <v>100.0</v>
      </c>
    </row>
    <row r="15" ht="12.75" customHeight="1">
      <c r="A15" s="52"/>
      <c r="B15" s="55" t="s">
        <v>62</v>
      </c>
      <c r="C15" s="9"/>
      <c r="D15" s="53">
        <v>30.0</v>
      </c>
    </row>
    <row r="16" ht="12.75" customHeight="1">
      <c r="A16" s="52"/>
      <c r="B16" s="9"/>
      <c r="C16" s="9"/>
      <c r="D16" s="46">
        <v>0.0</v>
      </c>
    </row>
    <row r="17" ht="12.75" customHeight="1">
      <c r="A17" s="52"/>
      <c r="B17" s="9"/>
      <c r="C17" s="9"/>
      <c r="D17" s="46">
        <v>0.0</v>
      </c>
    </row>
    <row r="18" ht="12.75" customHeight="1">
      <c r="A18" s="52"/>
      <c r="B18" s="9"/>
      <c r="C18" s="9"/>
      <c r="D18" s="46">
        <v>0.0</v>
      </c>
    </row>
    <row r="19" ht="12.75" customHeight="1">
      <c r="A19" s="52"/>
      <c r="B19" s="9"/>
      <c r="C19" s="9"/>
      <c r="D19" s="46">
        <v>0.0</v>
      </c>
    </row>
    <row r="20" ht="12.75" customHeight="1">
      <c r="A20" s="52"/>
      <c r="B20" s="9"/>
      <c r="C20" s="9"/>
      <c r="D20" s="46">
        <v>0.0</v>
      </c>
    </row>
    <row r="21" ht="12.75" customHeight="1">
      <c r="A21" s="52"/>
      <c r="B21" s="9"/>
      <c r="C21" s="9"/>
      <c r="D21" s="46">
        <v>0.0</v>
      </c>
    </row>
    <row r="22" ht="12.75" customHeight="1">
      <c r="A22" s="52"/>
      <c r="B22" s="9"/>
      <c r="C22" s="9"/>
      <c r="D22" s="46">
        <v>0.0</v>
      </c>
    </row>
    <row r="23" ht="12.75" customHeight="1">
      <c r="A23" s="52"/>
      <c r="B23" s="9"/>
      <c r="C23" s="9"/>
      <c r="D23" s="46">
        <v>0.0</v>
      </c>
    </row>
    <row r="24" ht="12.75" customHeight="1">
      <c r="A24" s="52"/>
      <c r="B24" s="9"/>
      <c r="C24" s="9"/>
      <c r="D24" s="46">
        <v>0.0</v>
      </c>
    </row>
    <row r="25" ht="12.75" customHeight="1">
      <c r="A25" s="52"/>
      <c r="B25" s="9"/>
      <c r="C25" s="9"/>
      <c r="D25" s="46">
        <v>0.0</v>
      </c>
    </row>
    <row r="26" ht="12.75" customHeight="1">
      <c r="A26" s="52"/>
      <c r="B26" s="9"/>
      <c r="C26" s="9"/>
      <c r="D26" s="46">
        <v>0.0</v>
      </c>
    </row>
    <row r="27" ht="12.75" customHeight="1">
      <c r="A27" s="52"/>
      <c r="B27" s="9"/>
      <c r="C27" s="9"/>
      <c r="D27" s="46">
        <v>0.0</v>
      </c>
    </row>
    <row r="28" ht="12.75" customHeight="1">
      <c r="A28" s="52"/>
      <c r="B28" s="9"/>
      <c r="C28" s="9"/>
      <c r="D28" s="46">
        <v>0.0</v>
      </c>
    </row>
    <row r="29" ht="12.75" customHeight="1">
      <c r="A29" s="52"/>
      <c r="B29" s="55" t="s">
        <v>69</v>
      </c>
      <c r="C29" s="9"/>
      <c r="D29" s="53">
        <v>10.0</v>
      </c>
    </row>
    <row r="30" ht="12.75" customHeight="1">
      <c r="A30" s="52"/>
      <c r="B30" s="55" t="s">
        <v>70</v>
      </c>
      <c r="D30" s="53">
        <v>20.0</v>
      </c>
    </row>
    <row r="31" ht="12.75" customHeight="1">
      <c r="A31" s="58"/>
      <c r="B31" s="48" t="s">
        <v>71</v>
      </c>
      <c r="C31" s="48"/>
      <c r="D31" s="50">
        <v>20.0</v>
      </c>
    </row>
    <row r="32" ht="12.75" customHeight="1">
      <c r="A32" s="59"/>
      <c r="B32" s="43"/>
      <c r="C32" s="43"/>
      <c r="D32" s="43"/>
    </row>
    <row r="33" ht="12.75" customHeight="1"/>
    <row r="34" ht="12.75" customHeight="1"/>
    <row r="35" ht="12.75" customHeight="1"/>
    <row r="36" ht="12.75" customHeight="1"/>
    <row r="37" ht="12.75" customHeight="1"/>
    <row r="38" ht="12.75" customHeight="1"/>
    <row r="39" ht="12.75" customHeight="1"/>
    <row r="40" ht="12.75" customHeight="1"/>
    <row r="41" ht="12.75" customHeight="1"/>
    <row r="42" ht="12.75" customHeight="1"/>
    <row r="43" ht="12.75" customHeight="1"/>
    <row r="44" ht="12.75" customHeight="1"/>
    <row r="45" ht="12.75" customHeight="1"/>
    <row r="46" ht="12.75" customHeight="1"/>
    <row r="47" ht="12.75" customHeight="1"/>
    <row r="48" ht="12.75" customHeight="1"/>
    <row r="49" ht="12.75" customHeight="1"/>
    <row r="50" ht="12.75" customHeight="1"/>
    <row r="51" ht="12.75" customHeight="1"/>
    <row r="52" ht="12.75" customHeight="1"/>
    <row r="53" ht="12.75" customHeight="1"/>
    <row r="54" ht="12.75" customHeight="1"/>
    <row r="55" ht="12.75" customHeight="1"/>
    <row r="56" ht="12.75" customHeight="1"/>
    <row r="57" ht="12.75" customHeight="1"/>
    <row r="58" ht="12.75" customHeight="1"/>
    <row r="59" ht="12.75" customHeight="1"/>
    <row r="60" ht="12.75" customHeight="1"/>
    <row r="61" ht="12.75" customHeight="1"/>
    <row r="62" ht="12.75" customHeight="1"/>
    <row r="63" ht="12.75" customHeight="1"/>
    <row r="64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  <row r="1001" ht="12.75" customHeight="1"/>
    <row r="1002" ht="12.75" customHeight="1"/>
    <row r="1003" ht="12.75" customHeight="1"/>
    <row r="1004" ht="12.75" customHeight="1"/>
    <row r="1005" ht="12.75" customHeight="1"/>
    <row r="1006" ht="12.75" customHeight="1"/>
    <row r="1007" ht="12.75" customHeight="1"/>
    <row r="1008" ht="12.75" customHeight="1"/>
    <row r="1009" ht="12.75" customHeight="1"/>
    <row r="1010" ht="12.75" customHeight="1"/>
    <row r="1011" ht="12.75" customHeight="1"/>
    <row r="1012" ht="12.75" customHeight="1"/>
  </sheetData>
  <mergeCells count="2">
    <mergeCell ref="A2:D2"/>
    <mergeCell ref="A7:A31"/>
  </mergeCells>
  <printOptions/>
  <pageMargins bottom="0.787401575" footer="0.0" header="0.0" left="0.7" right="0.7" top="0.787401575"/>
  <pageSetup paperSize="9" orientation="portrait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A5A5A5"/>
    <pageSetUpPr/>
  </sheetPr>
  <sheetViews>
    <sheetView workbookViewId="0"/>
  </sheetViews>
  <sheetFormatPr customHeight="1" defaultColWidth="14.43" defaultRowHeight="15.0"/>
  <cols>
    <col customWidth="1" min="1" max="3" width="26.14"/>
    <col customWidth="1" min="4" max="4" width="12.29"/>
    <col customWidth="1" min="5" max="26" width="8.71"/>
  </cols>
  <sheetData>
    <row r="1" ht="12.75" customHeight="1">
      <c r="A1" s="39" t="s">
        <v>42</v>
      </c>
      <c r="B1" s="40"/>
      <c r="C1" s="40"/>
      <c r="D1" s="41"/>
    </row>
    <row r="2" ht="12.75" customHeight="1">
      <c r="A2" s="54" t="s">
        <v>56</v>
      </c>
      <c r="B2" s="43" t="s">
        <v>44</v>
      </c>
      <c r="C2" s="43" t="s">
        <v>45</v>
      </c>
      <c r="D2" s="44" t="s">
        <v>63</v>
      </c>
    </row>
    <row r="3" ht="12.75" customHeight="1">
      <c r="A3" s="52"/>
      <c r="B3" s="9" t="s">
        <v>64</v>
      </c>
      <c r="D3" s="56">
        <v>50.0</v>
      </c>
    </row>
    <row r="4" ht="12.75" customHeight="1">
      <c r="A4" s="52"/>
      <c r="B4" s="9" t="s">
        <v>65</v>
      </c>
      <c r="D4" s="56">
        <v>0.35</v>
      </c>
    </row>
    <row r="5" ht="12.75" customHeight="1">
      <c r="A5" s="52"/>
      <c r="B5" s="9" t="s">
        <v>66</v>
      </c>
      <c r="D5" s="57">
        <v>1.5</v>
      </c>
    </row>
    <row r="6" ht="12.75" customHeight="1">
      <c r="A6" s="52"/>
      <c r="B6" s="9" t="s">
        <v>67</v>
      </c>
      <c r="D6" s="57">
        <v>0.5</v>
      </c>
    </row>
    <row r="7" ht="12.75" customHeight="1">
      <c r="A7" s="52"/>
      <c r="B7" s="9" t="s">
        <v>68</v>
      </c>
      <c r="D7" s="57"/>
    </row>
    <row r="8" ht="12.75" customHeight="1">
      <c r="A8" s="52"/>
      <c r="B8" s="9"/>
      <c r="D8" s="56"/>
    </row>
    <row r="9" ht="12.75" customHeight="1">
      <c r="A9" s="52"/>
      <c r="B9" s="9"/>
      <c r="D9" s="56"/>
    </row>
    <row r="10" ht="12.75" customHeight="1">
      <c r="A10" s="52"/>
      <c r="B10" s="9"/>
      <c r="D10" s="56"/>
    </row>
    <row r="11" ht="12.75" customHeight="1">
      <c r="A11" s="52"/>
      <c r="B11" s="9"/>
      <c r="D11" s="56"/>
    </row>
    <row r="12" ht="12.75" customHeight="1">
      <c r="A12" s="52"/>
      <c r="B12" s="9"/>
      <c r="D12" s="56"/>
    </row>
    <row r="13" ht="12.75" customHeight="1">
      <c r="A13" s="52"/>
      <c r="B13" s="9"/>
      <c r="D13" s="56"/>
    </row>
    <row r="14" ht="12.75" customHeight="1">
      <c r="A14" s="52"/>
      <c r="B14" s="9"/>
      <c r="D14" s="56"/>
    </row>
    <row r="15" ht="12.75" customHeight="1">
      <c r="A15" s="52"/>
      <c r="B15" s="9"/>
      <c r="D15" s="56"/>
    </row>
    <row r="16" ht="12.75" customHeight="1">
      <c r="A16" s="52"/>
      <c r="B16" s="9"/>
      <c r="D16" s="56"/>
    </row>
    <row r="17" ht="12.75" customHeight="1">
      <c r="A17" s="52"/>
      <c r="B17" s="9"/>
      <c r="D17" s="56"/>
    </row>
    <row r="18" ht="12.75" customHeight="1">
      <c r="A18" s="52"/>
      <c r="B18" s="9"/>
      <c r="D18" s="56"/>
    </row>
    <row r="19" ht="12.75" customHeight="1">
      <c r="A19" s="52"/>
      <c r="B19" s="9"/>
      <c r="D19" s="56"/>
    </row>
    <row r="20" ht="12.75" customHeight="1">
      <c r="A20" s="52"/>
      <c r="B20" s="9"/>
      <c r="D20" s="56"/>
    </row>
    <row r="21" ht="12.75" customHeight="1">
      <c r="A21" s="52"/>
      <c r="B21" s="9"/>
      <c r="D21" s="56"/>
    </row>
    <row r="22" ht="12.75" customHeight="1">
      <c r="A22" s="52"/>
      <c r="B22" s="9"/>
      <c r="D22" s="56"/>
    </row>
    <row r="23" ht="12.75" customHeight="1">
      <c r="A23" s="52"/>
      <c r="B23" s="9"/>
      <c r="D23" s="56"/>
    </row>
    <row r="24" ht="12.75" customHeight="1">
      <c r="A24" s="52"/>
      <c r="B24" s="9"/>
      <c r="D24" s="56"/>
    </row>
    <row r="25" ht="12.75" customHeight="1">
      <c r="A25" s="52"/>
      <c r="B25" s="9"/>
      <c r="D25" s="56"/>
    </row>
    <row r="26" ht="12.75" customHeight="1">
      <c r="A26" s="52"/>
      <c r="B26" s="9"/>
      <c r="D26" s="56"/>
    </row>
    <row r="27" ht="12.75" customHeight="1">
      <c r="A27" s="52"/>
      <c r="B27" s="9"/>
      <c r="D27" s="56"/>
    </row>
    <row r="28" ht="12.75" customHeight="1">
      <c r="A28" s="52"/>
      <c r="B28" s="9"/>
      <c r="D28" s="56"/>
    </row>
    <row r="29" ht="12.75" customHeight="1">
      <c r="A29" s="52"/>
      <c r="B29" s="9"/>
      <c r="D29" s="56"/>
    </row>
    <row r="30" ht="12.75" customHeight="1">
      <c r="A30" s="52"/>
      <c r="B30" s="9"/>
      <c r="D30" s="56"/>
    </row>
    <row r="31" ht="12.75" customHeight="1">
      <c r="A31" s="52"/>
      <c r="B31" s="9"/>
      <c r="D31" s="56"/>
    </row>
    <row r="32" ht="12.75" customHeight="1">
      <c r="A32" s="52"/>
      <c r="B32" s="9"/>
      <c r="D32" s="56"/>
    </row>
    <row r="33" ht="12.75" customHeight="1">
      <c r="A33" s="52"/>
      <c r="B33" s="9"/>
      <c r="D33" s="56"/>
    </row>
    <row r="34" ht="12.75" customHeight="1">
      <c r="A34" s="52"/>
      <c r="B34" s="9"/>
      <c r="D34" s="56"/>
    </row>
    <row r="35" ht="12.75" customHeight="1">
      <c r="A35" s="52"/>
      <c r="B35" s="9"/>
      <c r="D35" s="56"/>
    </row>
    <row r="36" ht="12.75" customHeight="1">
      <c r="A36" s="52"/>
      <c r="B36" s="9"/>
      <c r="D36" s="56"/>
    </row>
    <row r="37" ht="12.75" customHeight="1">
      <c r="A37" s="52"/>
      <c r="B37" s="9"/>
      <c r="D37" s="56"/>
    </row>
    <row r="38" ht="12.75" customHeight="1">
      <c r="A38" s="52"/>
      <c r="B38" s="9"/>
      <c r="D38" s="56"/>
    </row>
    <row r="39" ht="12.75" customHeight="1">
      <c r="A39" s="52"/>
      <c r="B39" s="9"/>
      <c r="D39" s="56"/>
    </row>
    <row r="40" ht="12.75" customHeight="1">
      <c r="A40" s="58"/>
      <c r="B40" s="48"/>
      <c r="C40" s="49"/>
      <c r="D40" s="60"/>
    </row>
    <row r="41" ht="12.75" customHeight="1">
      <c r="A41" s="54" t="s">
        <v>9</v>
      </c>
      <c r="B41" s="43" t="s">
        <v>44</v>
      </c>
      <c r="C41" s="43" t="s">
        <v>45</v>
      </c>
      <c r="D41" s="61" t="s">
        <v>72</v>
      </c>
    </row>
    <row r="42" ht="12.75" customHeight="1">
      <c r="A42" s="52"/>
      <c r="B42" s="9" t="s">
        <v>73</v>
      </c>
      <c r="C42" s="9"/>
      <c r="D42" s="56">
        <f>2687/(24*3)</f>
        <v>37.31944444</v>
      </c>
    </row>
    <row r="43" ht="12.75" customHeight="1">
      <c r="A43" s="52"/>
      <c r="B43" s="9"/>
      <c r="C43" s="9"/>
      <c r="D43" s="56"/>
    </row>
    <row r="44" ht="12.75" customHeight="1">
      <c r="A44" s="52"/>
      <c r="B44" s="9"/>
      <c r="C44" s="9"/>
      <c r="D44" s="56"/>
    </row>
    <row r="45" ht="12.75" customHeight="1">
      <c r="A45" s="52"/>
      <c r="B45" s="9"/>
      <c r="C45" s="9"/>
      <c r="D45" s="56"/>
    </row>
    <row r="46" ht="12.75" customHeight="1">
      <c r="A46" s="52"/>
      <c r="B46" s="9"/>
      <c r="C46" s="9"/>
      <c r="D46" s="56"/>
    </row>
    <row r="47" ht="12.75" customHeight="1">
      <c r="A47" s="52"/>
      <c r="B47" s="9"/>
      <c r="C47" s="9"/>
      <c r="D47" s="56"/>
    </row>
    <row r="48" ht="12.75" customHeight="1">
      <c r="A48" s="52"/>
      <c r="B48" s="9"/>
      <c r="C48" s="9"/>
      <c r="D48" s="56"/>
    </row>
    <row r="49" ht="12.75" customHeight="1">
      <c r="A49" s="52"/>
      <c r="B49" s="9"/>
      <c r="C49" s="9"/>
      <c r="D49" s="56"/>
    </row>
    <row r="50" ht="12.75" customHeight="1">
      <c r="A50" s="52"/>
      <c r="B50" s="9"/>
      <c r="C50" s="9"/>
      <c r="D50" s="56"/>
    </row>
    <row r="51" ht="12.75" customHeight="1">
      <c r="A51" s="52"/>
      <c r="B51" s="9"/>
      <c r="C51" s="9"/>
      <c r="D51" s="56"/>
    </row>
    <row r="52" ht="12.75" customHeight="1">
      <c r="A52" s="52"/>
      <c r="B52" s="9"/>
      <c r="D52" s="56"/>
    </row>
    <row r="53" ht="12.75" customHeight="1">
      <c r="A53" s="58"/>
      <c r="B53" s="48"/>
      <c r="C53" s="48"/>
      <c r="D53" s="60"/>
    </row>
    <row r="54" ht="12.75" customHeight="1">
      <c r="A54" s="54" t="s">
        <v>75</v>
      </c>
      <c r="B54" s="43" t="s">
        <v>44</v>
      </c>
      <c r="C54" s="43" t="s">
        <v>45</v>
      </c>
      <c r="D54" s="61" t="s">
        <v>63</v>
      </c>
    </row>
    <row r="55" ht="12.75" customHeight="1">
      <c r="A55" s="52"/>
      <c r="B55" s="9" t="s">
        <v>76</v>
      </c>
      <c r="C55" s="9"/>
      <c r="D55" s="56">
        <v>15.0</v>
      </c>
    </row>
    <row r="56" ht="12.75" customHeight="1">
      <c r="A56" s="52"/>
      <c r="B56" s="9" t="s">
        <v>77</v>
      </c>
      <c r="C56" s="9"/>
      <c r="D56" s="56">
        <v>8.0</v>
      </c>
    </row>
    <row r="57" ht="12.75" customHeight="1">
      <c r="A57" s="52"/>
      <c r="B57" s="9" t="s">
        <v>78</v>
      </c>
      <c r="C57" s="9"/>
      <c r="D57" s="57">
        <v>70.0</v>
      </c>
    </row>
    <row r="58" ht="12.75" customHeight="1">
      <c r="A58" s="52"/>
      <c r="B58" s="9" t="s">
        <v>79</v>
      </c>
      <c r="C58" s="9"/>
      <c r="D58" s="56">
        <v>20.0</v>
      </c>
    </row>
    <row r="59" ht="12.75" customHeight="1">
      <c r="A59" s="52"/>
      <c r="B59" s="9"/>
      <c r="C59" s="9"/>
      <c r="D59" s="56"/>
    </row>
    <row r="60" ht="12.75" customHeight="1">
      <c r="A60" s="52"/>
      <c r="B60" s="9"/>
      <c r="C60" s="9"/>
      <c r="D60" s="56"/>
    </row>
    <row r="61" ht="12.75" customHeight="1">
      <c r="A61" s="52"/>
      <c r="B61" s="9"/>
      <c r="C61" s="9"/>
      <c r="D61" s="56"/>
    </row>
    <row r="62" ht="12.75" customHeight="1">
      <c r="A62" s="52"/>
      <c r="B62" s="9"/>
      <c r="C62" s="9"/>
      <c r="D62" s="56"/>
    </row>
    <row r="63" ht="12.75" customHeight="1">
      <c r="A63" s="52"/>
      <c r="B63" s="9"/>
      <c r="C63" s="9"/>
      <c r="D63" s="56"/>
    </row>
    <row r="64" ht="12.75" customHeight="1">
      <c r="A64" s="52"/>
      <c r="B64" s="9"/>
      <c r="C64" s="9"/>
      <c r="D64" s="56"/>
    </row>
    <row r="65" ht="12.75" customHeight="1">
      <c r="A65" s="52"/>
      <c r="B65" s="9"/>
      <c r="D65" s="56"/>
    </row>
    <row r="66" ht="12.75" customHeight="1">
      <c r="A66" s="58"/>
      <c r="B66" s="48"/>
      <c r="C66" s="48"/>
      <c r="D66" s="60"/>
    </row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mergeCells count="4">
    <mergeCell ref="A1:D1"/>
    <mergeCell ref="A2:A40"/>
    <mergeCell ref="A41:A53"/>
    <mergeCell ref="A54:A66"/>
  </mergeCells>
  <printOptions/>
  <pageMargins bottom="0.75" footer="0.0" header="0.0" left="0.7" right="0.7" top="0.75"/>
  <pageSetup orientation="landscape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B050"/>
    <pageSetUpPr/>
  </sheetPr>
  <sheetViews>
    <sheetView workbookViewId="0"/>
  </sheetViews>
  <sheetFormatPr customHeight="1" defaultColWidth="14.43" defaultRowHeight="15.0"/>
  <cols>
    <col customWidth="1" min="1" max="1" width="10.14"/>
    <col customWidth="1" min="2" max="2" width="7.14"/>
    <col customWidth="1" min="3" max="3" width="8.43"/>
    <col customWidth="1" min="4" max="4" width="6.29"/>
    <col customWidth="1" min="5" max="5" width="8.71"/>
    <col customWidth="1" min="6" max="6" width="1.71"/>
    <col customWidth="1" min="7" max="7" width="10.29"/>
    <col customWidth="1" min="8" max="8" width="4.0"/>
    <col customWidth="1" min="9" max="9" width="8.43"/>
    <col customWidth="1" min="10" max="10" width="6.29"/>
    <col customWidth="1" min="11" max="11" width="8.71"/>
    <col customWidth="1" min="12" max="12" width="2.14"/>
    <col customWidth="1" hidden="1" min="13" max="13" width="10.14"/>
    <col customWidth="1" hidden="1" min="14" max="14" width="4.0"/>
    <col customWidth="1" hidden="1" min="15" max="15" width="8.43"/>
    <col customWidth="1" hidden="1" min="16" max="16" width="6.29"/>
    <col customWidth="1" hidden="1" min="17" max="17" width="8.71"/>
    <col customWidth="1" hidden="1" min="18" max="18" width="1.71"/>
    <col customWidth="1" hidden="1" min="19" max="19" width="10.14"/>
    <col customWidth="1" hidden="1" min="20" max="20" width="4.0"/>
    <col customWidth="1" hidden="1" min="21" max="21" width="8.43"/>
    <col customWidth="1" hidden="1" min="22" max="22" width="6.29"/>
    <col customWidth="1" hidden="1" min="23" max="23" width="9.86"/>
    <col customWidth="1" hidden="1" min="24" max="24" width="1.71"/>
    <col customWidth="1" hidden="1" min="25" max="25" width="10.14"/>
    <col customWidth="1" hidden="1" min="26" max="26" width="4.0"/>
    <col customWidth="1" hidden="1" min="27" max="27" width="8.43"/>
    <col customWidth="1" hidden="1" min="28" max="28" width="6.29"/>
    <col customWidth="1" hidden="1" min="29" max="29" width="9.86"/>
    <col customWidth="1" hidden="1" min="30" max="30" width="1.71"/>
    <col customWidth="1" hidden="1" min="31" max="31" width="10.29"/>
    <col customWidth="1" hidden="1" min="32" max="32" width="4.0"/>
    <col customWidth="1" hidden="1" min="33" max="33" width="8.43"/>
    <col customWidth="1" hidden="1" min="34" max="34" width="6.29"/>
    <col customWidth="1" hidden="1" min="35" max="35" width="9.86"/>
    <col customWidth="1" hidden="1" min="36" max="36" width="1.71"/>
    <col customWidth="1" hidden="1" min="37" max="37" width="10.14"/>
    <col customWidth="1" hidden="1" min="38" max="38" width="4.0"/>
    <col customWidth="1" hidden="1" min="39" max="39" width="8.43"/>
    <col customWidth="1" hidden="1" min="40" max="40" width="6.29"/>
    <col customWidth="1" hidden="1" min="41" max="41" width="9.57"/>
    <col customWidth="1" hidden="1" min="42" max="42" width="1.71"/>
    <col customWidth="1" hidden="1" min="43" max="43" width="10.14"/>
    <col customWidth="1" hidden="1" min="44" max="44" width="4.0"/>
    <col customWidth="1" hidden="1" min="45" max="45" width="8.43"/>
    <col customWidth="1" hidden="1" min="46" max="46" width="6.29"/>
    <col customWidth="1" hidden="1" min="47" max="47" width="8.71"/>
    <col customWidth="1" hidden="1" min="48" max="48" width="1.71"/>
    <col customWidth="1" hidden="1" min="49" max="49" width="10.14"/>
    <col customWidth="1" hidden="1" min="50" max="50" width="4.0"/>
    <col customWidth="1" hidden="1" min="51" max="51" width="8.43"/>
    <col customWidth="1" hidden="1" min="52" max="52" width="6.29"/>
    <col customWidth="1" hidden="1" min="53" max="53" width="9.86"/>
    <col customWidth="1" hidden="1" min="54" max="54" width="1.71"/>
    <col customWidth="1" hidden="1" min="55" max="55" width="10.14"/>
    <col customWidth="1" hidden="1" min="56" max="56" width="4.0"/>
    <col customWidth="1" hidden="1" min="57" max="57" width="8.43"/>
    <col customWidth="1" hidden="1" min="58" max="58" width="6.29"/>
    <col customWidth="1" hidden="1" min="59" max="59" width="9.86"/>
    <col customWidth="1" hidden="1" min="60" max="60" width="1.71"/>
    <col customWidth="1" hidden="1" min="61" max="61" width="10.14"/>
    <col customWidth="1" hidden="1" min="62" max="62" width="4.0"/>
    <col customWidth="1" hidden="1" min="63" max="63" width="8.43"/>
    <col customWidth="1" hidden="1" min="64" max="64" width="6.29"/>
    <col customWidth="1" hidden="1" min="65" max="65" width="9.57"/>
    <col customWidth="1" hidden="1" min="66" max="66" width="1.71"/>
    <col customWidth="1" hidden="1" min="67" max="67" width="10.14"/>
    <col customWidth="1" hidden="1" min="68" max="68" width="4.0"/>
    <col customWidth="1" hidden="1" min="69" max="69" width="8.43"/>
    <col customWidth="1" hidden="1" min="70" max="70" width="6.29"/>
    <col customWidth="1" hidden="1" min="71" max="71" width="9.57"/>
    <col customWidth="1" hidden="1" min="72" max="72" width="1.71"/>
    <col customWidth="1" hidden="1" min="73" max="73" width="10.14"/>
    <col customWidth="1" hidden="1" min="74" max="74" width="4.0"/>
    <col customWidth="1" hidden="1" min="75" max="75" width="8.43"/>
    <col customWidth="1" hidden="1" min="76" max="76" width="6.29"/>
    <col customWidth="1" hidden="1" min="77" max="77" width="9.57"/>
    <col customWidth="1" hidden="1" min="78" max="78" width="1.71"/>
    <col customWidth="1" hidden="1" min="79" max="79" width="10.14"/>
    <col customWidth="1" hidden="1" min="80" max="80" width="4.0"/>
    <col customWidth="1" hidden="1" min="81" max="81" width="8.43"/>
    <col customWidth="1" hidden="1" min="82" max="82" width="6.29"/>
    <col customWidth="1" hidden="1" min="83" max="83" width="9.57"/>
    <col customWidth="1" min="84" max="84" width="1.71"/>
    <col customWidth="1" min="85" max="85" width="10.14"/>
    <col customWidth="1" min="86" max="86" width="4.0"/>
    <col customWidth="1" min="87" max="87" width="7.14"/>
  </cols>
  <sheetData>
    <row r="1" ht="12.75" customHeight="1">
      <c r="A1" s="3" t="s">
        <v>74</v>
      </c>
      <c r="B1" s="62"/>
      <c r="C1" s="62"/>
      <c r="D1" s="62"/>
      <c r="E1" s="62"/>
      <c r="F1" s="62"/>
      <c r="G1" s="62"/>
      <c r="H1" s="62"/>
      <c r="I1" s="62"/>
      <c r="J1" s="62"/>
      <c r="K1" s="62"/>
      <c r="L1" s="62"/>
      <c r="M1" s="62"/>
      <c r="N1" s="62"/>
      <c r="O1" s="62"/>
      <c r="P1" s="62"/>
      <c r="Q1" s="62"/>
      <c r="CI1" s="63"/>
    </row>
    <row r="2" ht="12.75" customHeight="1">
      <c r="A2" s="9"/>
      <c r="M2" s="9"/>
      <c r="AE2" s="9"/>
      <c r="AW2" s="9"/>
      <c r="CI2" s="63"/>
    </row>
    <row r="3" ht="12.75" customHeight="1">
      <c r="A3" s="64" t="s">
        <v>80</v>
      </c>
      <c r="B3" s="65" t="s">
        <v>81</v>
      </c>
      <c r="C3" s="65" t="s">
        <v>82</v>
      </c>
      <c r="D3" s="65" t="s">
        <v>83</v>
      </c>
      <c r="E3" s="65" t="s">
        <v>84</v>
      </c>
      <c r="G3" s="64" t="s">
        <v>85</v>
      </c>
      <c r="H3" s="65" t="s">
        <v>81</v>
      </c>
      <c r="I3" s="65" t="s">
        <v>82</v>
      </c>
      <c r="J3" s="65" t="s">
        <v>83</v>
      </c>
      <c r="K3" s="65" t="s">
        <v>84</v>
      </c>
      <c r="M3" s="64"/>
      <c r="N3" s="65" t="s">
        <v>81</v>
      </c>
      <c r="O3" s="65" t="s">
        <v>82</v>
      </c>
      <c r="P3" s="65" t="s">
        <v>83</v>
      </c>
      <c r="Q3" s="65" t="s">
        <v>84</v>
      </c>
      <c r="S3" s="64"/>
      <c r="T3" s="65" t="s">
        <v>81</v>
      </c>
      <c r="U3" s="65" t="s">
        <v>82</v>
      </c>
      <c r="V3" s="65" t="s">
        <v>83</v>
      </c>
      <c r="W3" s="65" t="s">
        <v>84</v>
      </c>
      <c r="Y3" s="64"/>
      <c r="Z3" s="65" t="s">
        <v>81</v>
      </c>
      <c r="AA3" s="65" t="s">
        <v>82</v>
      </c>
      <c r="AB3" s="65" t="s">
        <v>83</v>
      </c>
      <c r="AC3" s="65" t="s">
        <v>84</v>
      </c>
      <c r="AE3" s="64"/>
      <c r="AF3" s="65" t="s">
        <v>81</v>
      </c>
      <c r="AG3" s="65" t="s">
        <v>82</v>
      </c>
      <c r="AH3" s="65" t="s">
        <v>83</v>
      </c>
      <c r="AI3" s="65" t="s">
        <v>84</v>
      </c>
      <c r="AK3" s="64"/>
      <c r="AL3" s="65" t="s">
        <v>81</v>
      </c>
      <c r="AM3" s="65" t="s">
        <v>82</v>
      </c>
      <c r="AN3" s="65" t="s">
        <v>83</v>
      </c>
      <c r="AO3" s="65" t="s">
        <v>84</v>
      </c>
      <c r="AQ3" s="64"/>
      <c r="AR3" s="65" t="s">
        <v>81</v>
      </c>
      <c r="AS3" s="65" t="s">
        <v>82</v>
      </c>
      <c r="AT3" s="65" t="s">
        <v>83</v>
      </c>
      <c r="AU3" s="65" t="s">
        <v>84</v>
      </c>
      <c r="AW3" s="64"/>
      <c r="AX3" s="65" t="s">
        <v>81</v>
      </c>
      <c r="AY3" s="65" t="s">
        <v>82</v>
      </c>
      <c r="AZ3" s="65" t="s">
        <v>83</v>
      </c>
      <c r="BA3" s="65" t="s">
        <v>84</v>
      </c>
      <c r="BC3" s="64"/>
      <c r="BD3" s="65" t="s">
        <v>81</v>
      </c>
      <c r="BE3" s="65" t="s">
        <v>82</v>
      </c>
      <c r="BF3" s="65" t="s">
        <v>83</v>
      </c>
      <c r="BG3" s="65" t="s">
        <v>84</v>
      </c>
      <c r="BI3" s="64"/>
      <c r="BJ3" s="65" t="s">
        <v>81</v>
      </c>
      <c r="BK3" s="65" t="s">
        <v>82</v>
      </c>
      <c r="BL3" s="65" t="s">
        <v>83</v>
      </c>
      <c r="BM3" s="65" t="s">
        <v>84</v>
      </c>
      <c r="BO3" s="64"/>
      <c r="BP3" s="65" t="s">
        <v>81</v>
      </c>
      <c r="BQ3" s="65" t="s">
        <v>82</v>
      </c>
      <c r="BR3" s="65" t="s">
        <v>83</v>
      </c>
      <c r="BS3" s="65" t="s">
        <v>84</v>
      </c>
      <c r="BU3" s="64"/>
      <c r="BV3" s="65" t="s">
        <v>81</v>
      </c>
      <c r="BW3" s="65" t="s">
        <v>82</v>
      </c>
      <c r="BX3" s="65" t="s">
        <v>83</v>
      </c>
      <c r="BY3" s="65" t="s">
        <v>84</v>
      </c>
      <c r="CA3" s="66"/>
      <c r="CB3" s="65" t="s">
        <v>81</v>
      </c>
      <c r="CC3" s="65" t="s">
        <v>82</v>
      </c>
      <c r="CD3" s="65" t="s">
        <v>83</v>
      </c>
      <c r="CE3" s="65" t="s">
        <v>84</v>
      </c>
      <c r="CG3" s="67"/>
      <c r="CH3" s="65" t="s">
        <v>86</v>
      </c>
      <c r="CI3" s="65" t="s">
        <v>18</v>
      </c>
    </row>
    <row r="4" ht="12.75" customHeight="1">
      <c r="A4" s="68">
        <v>0.0</v>
      </c>
      <c r="B4" s="65" t="s">
        <v>86</v>
      </c>
      <c r="C4" s="65"/>
      <c r="D4" s="69">
        <v>500.0</v>
      </c>
      <c r="E4" s="70">
        <f t="shared" ref="E4:E54" si="3">C4*D4</f>
        <v>0</v>
      </c>
      <c r="G4" s="68">
        <f t="shared" ref="G4:H4" si="1">A4</f>
        <v>0</v>
      </c>
      <c r="H4" s="65" t="str">
        <f t="shared" si="1"/>
        <v>hod</v>
      </c>
      <c r="I4" s="65"/>
      <c r="J4" s="69">
        <v>400.0</v>
      </c>
      <c r="K4" s="70">
        <f t="shared" ref="K4:K54" si="5">I4*J4</f>
        <v>0</v>
      </c>
      <c r="M4" s="68">
        <f t="shared" ref="M4:M55" si="6">A4</f>
        <v>0</v>
      </c>
      <c r="N4" s="65" t="str">
        <f t="shared" ref="N4:N54" si="7">H4</f>
        <v>hod</v>
      </c>
      <c r="O4" s="65"/>
      <c r="P4" s="69">
        <v>700.0</v>
      </c>
      <c r="Q4" s="70">
        <f t="shared" ref="Q4:Q54" si="8">O4*P4</f>
        <v>0</v>
      </c>
      <c r="S4" s="68">
        <f t="shared" ref="S4:S54" si="9">A4</f>
        <v>0</v>
      </c>
      <c r="T4" s="65" t="str">
        <f t="shared" ref="T4:T54" si="10">N4</f>
        <v>hod</v>
      </c>
      <c r="U4" s="65"/>
      <c r="V4" s="69">
        <v>650.0</v>
      </c>
      <c r="W4" s="70">
        <f t="shared" ref="W4:W54" si="11">U4*V4</f>
        <v>0</v>
      </c>
      <c r="Y4" s="68">
        <f t="shared" ref="Y4:Y54" si="12">A4</f>
        <v>0</v>
      </c>
      <c r="Z4" s="65" t="str">
        <f t="shared" ref="Z4:Z54" si="13">T4</f>
        <v>hod</v>
      </c>
      <c r="AA4" s="65"/>
      <c r="AB4" s="69">
        <v>650.0</v>
      </c>
      <c r="AC4" s="70">
        <f t="shared" ref="AC4:AC54" si="14">AA4*AB4</f>
        <v>0</v>
      </c>
      <c r="AE4" s="68">
        <f t="shared" ref="AE4:AE54" si="15">A4</f>
        <v>0</v>
      </c>
      <c r="AF4" s="65" t="str">
        <f t="shared" ref="AF4:AF54" si="16">Z4</f>
        <v>hod</v>
      </c>
      <c r="AG4" s="65"/>
      <c r="AH4" s="69">
        <v>700.0</v>
      </c>
      <c r="AI4" s="70">
        <f t="shared" ref="AI4:AI54" si="17">AG4*AH4</f>
        <v>0</v>
      </c>
      <c r="AK4" s="68">
        <f t="shared" ref="AK4:AK54" si="18">G4</f>
        <v>0</v>
      </c>
      <c r="AL4" s="65" t="str">
        <f t="shared" ref="AL4:AL54" si="19">AF4</f>
        <v>hod</v>
      </c>
      <c r="AM4" s="65"/>
      <c r="AN4" s="69">
        <v>600.0</v>
      </c>
      <c r="AO4" s="70">
        <f t="shared" ref="AO4:AO54" si="20">AM4*AN4</f>
        <v>0</v>
      </c>
      <c r="AQ4" s="68">
        <f t="shared" ref="AQ4:AR4" si="2">AK4</f>
        <v>0</v>
      </c>
      <c r="AR4" s="65" t="str">
        <f t="shared" si="2"/>
        <v>hod</v>
      </c>
      <c r="AS4" s="65"/>
      <c r="AT4" s="69">
        <v>600.0</v>
      </c>
      <c r="AU4" s="70">
        <f t="shared" ref="AU4:AU54" si="22">AS4*AT4</f>
        <v>0</v>
      </c>
      <c r="AW4" s="68">
        <f t="shared" ref="AW4:AW54" si="23">A4</f>
        <v>0</v>
      </c>
      <c r="AX4" s="65" t="str">
        <f t="shared" ref="AX4:AX54" si="24">AF4</f>
        <v>hod</v>
      </c>
      <c r="AY4" s="65"/>
      <c r="AZ4" s="69">
        <v>600.0</v>
      </c>
      <c r="BA4" s="70">
        <f t="shared" ref="BA4:BA54" si="25">AY4*AZ4</f>
        <v>0</v>
      </c>
      <c r="BC4" s="68">
        <f t="shared" ref="BC4:BC54" si="26">A4</f>
        <v>0</v>
      </c>
      <c r="BD4" s="65" t="str">
        <f t="shared" ref="BD4:BD54" si="27">AX4</f>
        <v>hod</v>
      </c>
      <c r="BE4" s="65"/>
      <c r="BF4" s="69">
        <v>600.0</v>
      </c>
      <c r="BG4" s="70">
        <f t="shared" ref="BG4:BG54" si="28">BE4*BF4</f>
        <v>0</v>
      </c>
      <c r="BI4" s="68">
        <f t="shared" ref="BI4:BI54" si="29">G4</f>
        <v>0</v>
      </c>
      <c r="BJ4" s="65" t="str">
        <f t="shared" ref="BJ4:BJ54" si="30">BD4</f>
        <v>hod</v>
      </c>
      <c r="BK4" s="65"/>
      <c r="BL4" s="69">
        <v>800.0</v>
      </c>
      <c r="BM4" s="70">
        <f t="shared" ref="BM4:BM54" si="31">BK4*BL4</f>
        <v>0</v>
      </c>
      <c r="BO4" s="68">
        <f t="shared" ref="BO4:BO54" si="32">M4</f>
        <v>0</v>
      </c>
      <c r="BP4" s="65" t="str">
        <f t="shared" ref="BP4:BP54" si="33">BJ4</f>
        <v>hod</v>
      </c>
      <c r="BQ4" s="65"/>
      <c r="BR4" s="69">
        <v>650.0</v>
      </c>
      <c r="BS4" s="70">
        <f t="shared" ref="BS4:BS54" si="34">BQ4*BR4</f>
        <v>0</v>
      </c>
      <c r="BU4" s="68">
        <f t="shared" ref="BU4:BU54" si="35">S4</f>
        <v>0</v>
      </c>
      <c r="BV4" s="65" t="str">
        <f t="shared" ref="BV4:BV54" si="36">BP4</f>
        <v>hod</v>
      </c>
      <c r="BW4" s="65"/>
      <c r="BX4" s="69">
        <v>950.0</v>
      </c>
      <c r="BY4" s="70">
        <f t="shared" ref="BY4:BY54" si="37">BW4*BX4</f>
        <v>0</v>
      </c>
      <c r="CA4" s="68">
        <f t="shared" ref="CA4:CA54" si="38">Y4</f>
        <v>0</v>
      </c>
      <c r="CB4" s="65" t="str">
        <f t="shared" ref="CB4:CB54" si="39">BV4</f>
        <v>hod</v>
      </c>
      <c r="CC4" s="65"/>
      <c r="CD4" s="69">
        <v>600.0</v>
      </c>
      <c r="CE4" s="70">
        <f t="shared" ref="CE4:CE54" si="40">CC4*CD4</f>
        <v>0</v>
      </c>
      <c r="CG4" s="68">
        <f t="shared" ref="CG4:CG54" si="41">A4</f>
        <v>0</v>
      </c>
      <c r="CH4" s="69">
        <f>C4+I4+O4+U4+AA4+AG4+AM4+AS4+AY4+BE4+BK4+BQ4+BW4+CC4</f>
        <v>0</v>
      </c>
      <c r="CI4" s="85">
        <f>E4+K4+Q4+W4+AC4+AI4+AO4+AU4+BA4+BG4+BM4+BS4+BY4+CE4</f>
        <v>0</v>
      </c>
    </row>
    <row r="5" ht="12.75" customHeight="1">
      <c r="A5" s="68">
        <v>0.0</v>
      </c>
      <c r="B5" s="65" t="s">
        <v>86</v>
      </c>
      <c r="C5" s="65"/>
      <c r="D5" s="69">
        <f t="shared" ref="D5:D54" si="42">D4</f>
        <v>500</v>
      </c>
      <c r="E5" s="70">
        <f t="shared" si="3"/>
        <v>0</v>
      </c>
      <c r="G5" s="68">
        <f t="shared" ref="G5:H5" si="4">A5</f>
        <v>0</v>
      </c>
      <c r="H5" s="65" t="str">
        <f t="shared" si="4"/>
        <v>hod</v>
      </c>
      <c r="I5" s="65"/>
      <c r="J5" s="69">
        <f t="shared" ref="J5:J54" si="44">J4</f>
        <v>400</v>
      </c>
      <c r="K5" s="70">
        <f t="shared" si="5"/>
        <v>0</v>
      </c>
      <c r="M5" s="68">
        <f t="shared" si="6"/>
        <v>0</v>
      </c>
      <c r="N5" s="65" t="str">
        <f t="shared" si="7"/>
        <v>hod</v>
      </c>
      <c r="O5" s="65"/>
      <c r="P5" s="69">
        <f t="shared" ref="P5:P54" si="45">P4</f>
        <v>700</v>
      </c>
      <c r="Q5" s="70">
        <f t="shared" si="8"/>
        <v>0</v>
      </c>
      <c r="S5" s="68">
        <f t="shared" si="9"/>
        <v>0</v>
      </c>
      <c r="T5" s="65" t="str">
        <f t="shared" si="10"/>
        <v>hod</v>
      </c>
      <c r="U5" s="65"/>
      <c r="V5" s="69">
        <f t="shared" ref="V5:V54" si="46">V4</f>
        <v>650</v>
      </c>
      <c r="W5" s="70">
        <f t="shared" si="11"/>
        <v>0</v>
      </c>
      <c r="Y5" s="68">
        <f t="shared" si="12"/>
        <v>0</v>
      </c>
      <c r="Z5" s="65" t="str">
        <f t="shared" si="13"/>
        <v>hod</v>
      </c>
      <c r="AA5" s="65"/>
      <c r="AB5" s="69">
        <f t="shared" ref="AB5:AB54" si="47">AB4</f>
        <v>650</v>
      </c>
      <c r="AC5" s="70">
        <f t="shared" si="14"/>
        <v>0</v>
      </c>
      <c r="AE5" s="68">
        <f t="shared" si="15"/>
        <v>0</v>
      </c>
      <c r="AF5" s="65" t="str">
        <f t="shared" si="16"/>
        <v>hod</v>
      </c>
      <c r="AG5" s="65"/>
      <c r="AH5" s="69">
        <f t="shared" ref="AH5:AH54" si="48">AH4</f>
        <v>700</v>
      </c>
      <c r="AI5" s="70">
        <f t="shared" si="17"/>
        <v>0</v>
      </c>
      <c r="AK5" s="68">
        <f t="shared" si="18"/>
        <v>0</v>
      </c>
      <c r="AL5" s="65" t="str">
        <f t="shared" si="19"/>
        <v>hod</v>
      </c>
      <c r="AM5" s="65"/>
      <c r="AN5" s="69">
        <f t="shared" ref="AN5:AN54" si="49">AN4</f>
        <v>600</v>
      </c>
      <c r="AO5" s="70">
        <f t="shared" si="20"/>
        <v>0</v>
      </c>
      <c r="AQ5" s="68">
        <f t="shared" ref="AQ5:AR5" si="21">AK5</f>
        <v>0</v>
      </c>
      <c r="AR5" s="65" t="str">
        <f t="shared" si="21"/>
        <v>hod</v>
      </c>
      <c r="AS5" s="65"/>
      <c r="AT5" s="69">
        <f t="shared" ref="AT5:AT54" si="51">AT4</f>
        <v>600</v>
      </c>
      <c r="AU5" s="70">
        <f t="shared" si="22"/>
        <v>0</v>
      </c>
      <c r="AW5" s="68">
        <f t="shared" si="23"/>
        <v>0</v>
      </c>
      <c r="AX5" s="65" t="str">
        <f t="shared" si="24"/>
        <v>hod</v>
      </c>
      <c r="AY5" s="65"/>
      <c r="AZ5" s="69">
        <f t="shared" ref="AZ5:AZ54" si="52">AZ4</f>
        <v>600</v>
      </c>
      <c r="BA5" s="70">
        <f t="shared" si="25"/>
        <v>0</v>
      </c>
      <c r="BC5" s="68">
        <f t="shared" si="26"/>
        <v>0</v>
      </c>
      <c r="BD5" s="65" t="str">
        <f t="shared" si="27"/>
        <v>hod</v>
      </c>
      <c r="BE5" s="65"/>
      <c r="BF5" s="69">
        <f t="shared" ref="BF5:BF54" si="53">BF4</f>
        <v>600</v>
      </c>
      <c r="BG5" s="70">
        <f t="shared" si="28"/>
        <v>0</v>
      </c>
      <c r="BI5" s="68">
        <f t="shared" si="29"/>
        <v>0</v>
      </c>
      <c r="BJ5" s="65" t="str">
        <f t="shared" si="30"/>
        <v>hod</v>
      </c>
      <c r="BK5" s="65"/>
      <c r="BL5" s="69">
        <f t="shared" ref="BL5:BL54" si="54">BL4</f>
        <v>800</v>
      </c>
      <c r="BM5" s="70">
        <f t="shared" si="31"/>
        <v>0</v>
      </c>
      <c r="BO5" s="68">
        <f t="shared" si="32"/>
        <v>0</v>
      </c>
      <c r="BP5" s="65" t="str">
        <f t="shared" si="33"/>
        <v>hod</v>
      </c>
      <c r="BQ5" s="65"/>
      <c r="BR5" s="69">
        <f t="shared" ref="BR5:BR54" si="55">BR4</f>
        <v>650</v>
      </c>
      <c r="BS5" s="70">
        <f t="shared" si="34"/>
        <v>0</v>
      </c>
      <c r="BU5" s="68">
        <f t="shared" si="35"/>
        <v>0</v>
      </c>
      <c r="BV5" s="65" t="str">
        <f t="shared" si="36"/>
        <v>hod</v>
      </c>
      <c r="BW5" s="65"/>
      <c r="BX5" s="69">
        <f t="shared" ref="BX5:BX54" si="56">BX4</f>
        <v>950</v>
      </c>
      <c r="BY5" s="70">
        <f t="shared" si="37"/>
        <v>0</v>
      </c>
      <c r="CA5" s="68">
        <f t="shared" si="38"/>
        <v>0</v>
      </c>
      <c r="CB5" s="65" t="str">
        <f t="shared" si="39"/>
        <v>hod</v>
      </c>
      <c r="CC5" s="65"/>
      <c r="CD5" s="69">
        <f t="shared" ref="CD5:CD54" si="57">CD4</f>
        <v>600</v>
      </c>
      <c r="CE5" s="70">
        <f t="shared" si="40"/>
        <v>0</v>
      </c>
      <c r="CG5" s="68">
        <f t="shared" si="41"/>
        <v>0</v>
      </c>
      <c r="CH5" s="69">
        <f t="shared" ref="CH5:CH54" si="58">C5+I5+O5+U5+AA5+AG5+AM5+AS5+AY5+BE5+BK5</f>
        <v>0</v>
      </c>
      <c r="CI5" s="85">
        <f t="shared" ref="CI5:CI54" si="59">E5+K5+Q5+W5+AC5+AI5+AO5+AU5+BA5+BG5+BM5</f>
        <v>0</v>
      </c>
    </row>
    <row r="6" ht="12.75" customHeight="1">
      <c r="A6" s="68">
        <v>0.0</v>
      </c>
      <c r="B6" s="65" t="s">
        <v>86</v>
      </c>
      <c r="C6" s="65"/>
      <c r="D6" s="69">
        <f t="shared" si="42"/>
        <v>500</v>
      </c>
      <c r="E6" s="70">
        <f t="shared" si="3"/>
        <v>0</v>
      </c>
      <c r="G6" s="68">
        <f t="shared" ref="G6:H6" si="43">A6</f>
        <v>0</v>
      </c>
      <c r="H6" s="65" t="str">
        <f t="shared" si="43"/>
        <v>hod</v>
      </c>
      <c r="I6" s="65"/>
      <c r="J6" s="69">
        <f t="shared" si="44"/>
        <v>400</v>
      </c>
      <c r="K6" s="70">
        <f t="shared" si="5"/>
        <v>0</v>
      </c>
      <c r="M6" s="68">
        <f t="shared" si="6"/>
        <v>0</v>
      </c>
      <c r="N6" s="65" t="str">
        <f t="shared" si="7"/>
        <v>hod</v>
      </c>
      <c r="O6" s="65"/>
      <c r="P6" s="69">
        <f t="shared" si="45"/>
        <v>700</v>
      </c>
      <c r="Q6" s="70">
        <f t="shared" si="8"/>
        <v>0</v>
      </c>
      <c r="S6" s="68">
        <f t="shared" si="9"/>
        <v>0</v>
      </c>
      <c r="T6" s="65" t="str">
        <f t="shared" si="10"/>
        <v>hod</v>
      </c>
      <c r="U6" s="65"/>
      <c r="V6" s="69">
        <f t="shared" si="46"/>
        <v>650</v>
      </c>
      <c r="W6" s="70">
        <f t="shared" si="11"/>
        <v>0</v>
      </c>
      <c r="Y6" s="68">
        <f t="shared" si="12"/>
        <v>0</v>
      </c>
      <c r="Z6" s="65" t="str">
        <f t="shared" si="13"/>
        <v>hod</v>
      </c>
      <c r="AA6" s="65"/>
      <c r="AB6" s="69">
        <f t="shared" si="47"/>
        <v>650</v>
      </c>
      <c r="AC6" s="70">
        <f t="shared" si="14"/>
        <v>0</v>
      </c>
      <c r="AE6" s="68">
        <f t="shared" si="15"/>
        <v>0</v>
      </c>
      <c r="AF6" s="65" t="str">
        <f t="shared" si="16"/>
        <v>hod</v>
      </c>
      <c r="AG6" s="65"/>
      <c r="AH6" s="69">
        <f t="shared" si="48"/>
        <v>700</v>
      </c>
      <c r="AI6" s="70">
        <f t="shared" si="17"/>
        <v>0</v>
      </c>
      <c r="AK6" s="68">
        <f t="shared" si="18"/>
        <v>0</v>
      </c>
      <c r="AL6" s="65" t="str">
        <f t="shared" si="19"/>
        <v>hod</v>
      </c>
      <c r="AM6" s="65"/>
      <c r="AN6" s="69">
        <f t="shared" si="49"/>
        <v>600</v>
      </c>
      <c r="AO6" s="70">
        <f t="shared" si="20"/>
        <v>0</v>
      </c>
      <c r="AQ6" s="68">
        <f t="shared" ref="AQ6:AR6" si="50">AK6</f>
        <v>0</v>
      </c>
      <c r="AR6" s="65" t="str">
        <f t="shared" si="50"/>
        <v>hod</v>
      </c>
      <c r="AS6" s="65"/>
      <c r="AT6" s="69">
        <f t="shared" si="51"/>
        <v>600</v>
      </c>
      <c r="AU6" s="70">
        <f t="shared" si="22"/>
        <v>0</v>
      </c>
      <c r="AW6" s="68">
        <f t="shared" si="23"/>
        <v>0</v>
      </c>
      <c r="AX6" s="65" t="str">
        <f t="shared" si="24"/>
        <v>hod</v>
      </c>
      <c r="AY6" s="65"/>
      <c r="AZ6" s="69">
        <f t="shared" si="52"/>
        <v>600</v>
      </c>
      <c r="BA6" s="70">
        <f t="shared" si="25"/>
        <v>0</v>
      </c>
      <c r="BC6" s="68">
        <f t="shared" si="26"/>
        <v>0</v>
      </c>
      <c r="BD6" s="65" t="str">
        <f t="shared" si="27"/>
        <v>hod</v>
      </c>
      <c r="BE6" s="65"/>
      <c r="BF6" s="69">
        <f t="shared" si="53"/>
        <v>600</v>
      </c>
      <c r="BG6" s="70">
        <f t="shared" si="28"/>
        <v>0</v>
      </c>
      <c r="BI6" s="68">
        <f t="shared" si="29"/>
        <v>0</v>
      </c>
      <c r="BJ6" s="65" t="str">
        <f t="shared" si="30"/>
        <v>hod</v>
      </c>
      <c r="BK6" s="65"/>
      <c r="BL6" s="69">
        <f t="shared" si="54"/>
        <v>800</v>
      </c>
      <c r="BM6" s="70">
        <f t="shared" si="31"/>
        <v>0</v>
      </c>
      <c r="BO6" s="68">
        <f t="shared" si="32"/>
        <v>0</v>
      </c>
      <c r="BP6" s="65" t="str">
        <f t="shared" si="33"/>
        <v>hod</v>
      </c>
      <c r="BQ6" s="65"/>
      <c r="BR6" s="69">
        <f t="shared" si="55"/>
        <v>650</v>
      </c>
      <c r="BS6" s="70">
        <f t="shared" si="34"/>
        <v>0</v>
      </c>
      <c r="BU6" s="68">
        <f t="shared" si="35"/>
        <v>0</v>
      </c>
      <c r="BV6" s="65" t="str">
        <f t="shared" si="36"/>
        <v>hod</v>
      </c>
      <c r="BW6" s="65"/>
      <c r="BX6" s="69">
        <f t="shared" si="56"/>
        <v>950</v>
      </c>
      <c r="BY6" s="70">
        <f t="shared" si="37"/>
        <v>0</v>
      </c>
      <c r="CA6" s="68">
        <f t="shared" si="38"/>
        <v>0</v>
      </c>
      <c r="CB6" s="65" t="str">
        <f t="shared" si="39"/>
        <v>hod</v>
      </c>
      <c r="CC6" s="65"/>
      <c r="CD6" s="69">
        <f t="shared" si="57"/>
        <v>600</v>
      </c>
      <c r="CE6" s="70">
        <f t="shared" si="40"/>
        <v>0</v>
      </c>
      <c r="CG6" s="68">
        <f t="shared" si="41"/>
        <v>0</v>
      </c>
      <c r="CH6" s="69">
        <f t="shared" si="58"/>
        <v>0</v>
      </c>
      <c r="CI6" s="85">
        <f t="shared" si="59"/>
        <v>0</v>
      </c>
    </row>
    <row r="7" ht="12.75" customHeight="1">
      <c r="A7" s="68">
        <v>0.0</v>
      </c>
      <c r="B7" s="65" t="s">
        <v>86</v>
      </c>
      <c r="C7" s="65"/>
      <c r="D7" s="69">
        <f t="shared" si="42"/>
        <v>500</v>
      </c>
      <c r="E7" s="70">
        <f t="shared" si="3"/>
        <v>0</v>
      </c>
      <c r="G7" s="68">
        <f t="shared" ref="G7:H7" si="60">A7</f>
        <v>0</v>
      </c>
      <c r="H7" s="65" t="str">
        <f t="shared" si="60"/>
        <v>hod</v>
      </c>
      <c r="I7" s="65"/>
      <c r="J7" s="69">
        <f t="shared" si="44"/>
        <v>400</v>
      </c>
      <c r="K7" s="70">
        <f t="shared" si="5"/>
        <v>0</v>
      </c>
      <c r="M7" s="68">
        <f t="shared" si="6"/>
        <v>0</v>
      </c>
      <c r="N7" s="65" t="str">
        <f t="shared" si="7"/>
        <v>hod</v>
      </c>
      <c r="O7" s="65"/>
      <c r="P7" s="69">
        <f t="shared" si="45"/>
        <v>700</v>
      </c>
      <c r="Q7" s="70">
        <f t="shared" si="8"/>
        <v>0</v>
      </c>
      <c r="S7" s="68">
        <f t="shared" si="9"/>
        <v>0</v>
      </c>
      <c r="T7" s="65" t="str">
        <f t="shared" si="10"/>
        <v>hod</v>
      </c>
      <c r="U7" s="65"/>
      <c r="V7" s="69">
        <f t="shared" si="46"/>
        <v>650</v>
      </c>
      <c r="W7" s="70">
        <f t="shared" si="11"/>
        <v>0</v>
      </c>
      <c r="Y7" s="68">
        <f t="shared" si="12"/>
        <v>0</v>
      </c>
      <c r="Z7" s="65" t="str">
        <f t="shared" si="13"/>
        <v>hod</v>
      </c>
      <c r="AA7" s="65"/>
      <c r="AB7" s="69">
        <f t="shared" si="47"/>
        <v>650</v>
      </c>
      <c r="AC7" s="70">
        <f t="shared" si="14"/>
        <v>0</v>
      </c>
      <c r="AE7" s="68">
        <f t="shared" si="15"/>
        <v>0</v>
      </c>
      <c r="AF7" s="65" t="str">
        <f t="shared" si="16"/>
        <v>hod</v>
      </c>
      <c r="AG7" s="65"/>
      <c r="AH7" s="69">
        <f t="shared" si="48"/>
        <v>700</v>
      </c>
      <c r="AI7" s="70">
        <f t="shared" si="17"/>
        <v>0</v>
      </c>
      <c r="AK7" s="68">
        <f t="shared" si="18"/>
        <v>0</v>
      </c>
      <c r="AL7" s="65" t="str">
        <f t="shared" si="19"/>
        <v>hod</v>
      </c>
      <c r="AM7" s="65"/>
      <c r="AN7" s="69">
        <f t="shared" si="49"/>
        <v>600</v>
      </c>
      <c r="AO7" s="70">
        <f t="shared" si="20"/>
        <v>0</v>
      </c>
      <c r="AQ7" s="68">
        <f t="shared" ref="AQ7:AR7" si="61">AK7</f>
        <v>0</v>
      </c>
      <c r="AR7" s="65" t="str">
        <f t="shared" si="61"/>
        <v>hod</v>
      </c>
      <c r="AS7" s="65"/>
      <c r="AT7" s="69">
        <f t="shared" si="51"/>
        <v>600</v>
      </c>
      <c r="AU7" s="70">
        <f t="shared" si="22"/>
        <v>0</v>
      </c>
      <c r="AW7" s="68">
        <f t="shared" si="23"/>
        <v>0</v>
      </c>
      <c r="AX7" s="65" t="str">
        <f t="shared" si="24"/>
        <v>hod</v>
      </c>
      <c r="AY7" s="65"/>
      <c r="AZ7" s="69">
        <f t="shared" si="52"/>
        <v>600</v>
      </c>
      <c r="BA7" s="70">
        <f t="shared" si="25"/>
        <v>0</v>
      </c>
      <c r="BC7" s="68">
        <f t="shared" si="26"/>
        <v>0</v>
      </c>
      <c r="BD7" s="65" t="str">
        <f t="shared" si="27"/>
        <v>hod</v>
      </c>
      <c r="BE7" s="65"/>
      <c r="BF7" s="69">
        <f t="shared" si="53"/>
        <v>600</v>
      </c>
      <c r="BG7" s="70">
        <f t="shared" si="28"/>
        <v>0</v>
      </c>
      <c r="BI7" s="68">
        <f t="shared" si="29"/>
        <v>0</v>
      </c>
      <c r="BJ7" s="65" t="str">
        <f t="shared" si="30"/>
        <v>hod</v>
      </c>
      <c r="BK7" s="65"/>
      <c r="BL7" s="69">
        <f t="shared" si="54"/>
        <v>800</v>
      </c>
      <c r="BM7" s="70">
        <f t="shared" si="31"/>
        <v>0</v>
      </c>
      <c r="BO7" s="68">
        <f t="shared" si="32"/>
        <v>0</v>
      </c>
      <c r="BP7" s="65" t="str">
        <f t="shared" si="33"/>
        <v>hod</v>
      </c>
      <c r="BQ7" s="65"/>
      <c r="BR7" s="69">
        <f t="shared" si="55"/>
        <v>650</v>
      </c>
      <c r="BS7" s="70">
        <f t="shared" si="34"/>
        <v>0</v>
      </c>
      <c r="BU7" s="68">
        <f t="shared" si="35"/>
        <v>0</v>
      </c>
      <c r="BV7" s="65" t="str">
        <f t="shared" si="36"/>
        <v>hod</v>
      </c>
      <c r="BW7" s="65"/>
      <c r="BX7" s="69">
        <f t="shared" si="56"/>
        <v>950</v>
      </c>
      <c r="BY7" s="70">
        <f t="shared" si="37"/>
        <v>0</v>
      </c>
      <c r="CA7" s="68">
        <f t="shared" si="38"/>
        <v>0</v>
      </c>
      <c r="CB7" s="65" t="str">
        <f t="shared" si="39"/>
        <v>hod</v>
      </c>
      <c r="CC7" s="65"/>
      <c r="CD7" s="69">
        <f t="shared" si="57"/>
        <v>600</v>
      </c>
      <c r="CE7" s="70">
        <f t="shared" si="40"/>
        <v>0</v>
      </c>
      <c r="CG7" s="68">
        <f t="shared" si="41"/>
        <v>0</v>
      </c>
      <c r="CH7" s="69">
        <f t="shared" si="58"/>
        <v>0</v>
      </c>
      <c r="CI7" s="85">
        <f t="shared" si="59"/>
        <v>0</v>
      </c>
    </row>
    <row r="8" ht="12.75" customHeight="1">
      <c r="A8" s="68">
        <v>0.0</v>
      </c>
      <c r="B8" s="65" t="s">
        <v>86</v>
      </c>
      <c r="C8" s="65"/>
      <c r="D8" s="69">
        <f t="shared" si="42"/>
        <v>500</v>
      </c>
      <c r="E8" s="70">
        <f t="shared" si="3"/>
        <v>0</v>
      </c>
      <c r="G8" s="68">
        <f t="shared" ref="G8:H8" si="62">A8</f>
        <v>0</v>
      </c>
      <c r="H8" s="65" t="str">
        <f t="shared" si="62"/>
        <v>hod</v>
      </c>
      <c r="I8" s="65"/>
      <c r="J8" s="69">
        <f t="shared" si="44"/>
        <v>400</v>
      </c>
      <c r="K8" s="70">
        <f t="shared" si="5"/>
        <v>0</v>
      </c>
      <c r="M8" s="68">
        <f t="shared" si="6"/>
        <v>0</v>
      </c>
      <c r="N8" s="65" t="str">
        <f t="shared" si="7"/>
        <v>hod</v>
      </c>
      <c r="O8" s="65"/>
      <c r="P8" s="69">
        <f t="shared" si="45"/>
        <v>700</v>
      </c>
      <c r="Q8" s="70">
        <f t="shared" si="8"/>
        <v>0</v>
      </c>
      <c r="S8" s="68">
        <f t="shared" si="9"/>
        <v>0</v>
      </c>
      <c r="T8" s="65" t="str">
        <f t="shared" si="10"/>
        <v>hod</v>
      </c>
      <c r="U8" s="65"/>
      <c r="V8" s="69">
        <f t="shared" si="46"/>
        <v>650</v>
      </c>
      <c r="W8" s="70">
        <f t="shared" si="11"/>
        <v>0</v>
      </c>
      <c r="Y8" s="68">
        <f t="shared" si="12"/>
        <v>0</v>
      </c>
      <c r="Z8" s="65" t="str">
        <f t="shared" si="13"/>
        <v>hod</v>
      </c>
      <c r="AA8" s="65"/>
      <c r="AB8" s="69">
        <f t="shared" si="47"/>
        <v>650</v>
      </c>
      <c r="AC8" s="70">
        <f t="shared" si="14"/>
        <v>0</v>
      </c>
      <c r="AE8" s="68">
        <f t="shared" si="15"/>
        <v>0</v>
      </c>
      <c r="AF8" s="65" t="str">
        <f t="shared" si="16"/>
        <v>hod</v>
      </c>
      <c r="AG8" s="65"/>
      <c r="AH8" s="69">
        <f t="shared" si="48"/>
        <v>700</v>
      </c>
      <c r="AI8" s="70">
        <f t="shared" si="17"/>
        <v>0</v>
      </c>
      <c r="AK8" s="68">
        <f t="shared" si="18"/>
        <v>0</v>
      </c>
      <c r="AL8" s="65" t="str">
        <f t="shared" si="19"/>
        <v>hod</v>
      </c>
      <c r="AM8" s="65"/>
      <c r="AN8" s="69">
        <f t="shared" si="49"/>
        <v>600</v>
      </c>
      <c r="AO8" s="70">
        <f t="shared" si="20"/>
        <v>0</v>
      </c>
      <c r="AQ8" s="68">
        <f t="shared" ref="AQ8:AR8" si="63">AK8</f>
        <v>0</v>
      </c>
      <c r="AR8" s="65" t="str">
        <f t="shared" si="63"/>
        <v>hod</v>
      </c>
      <c r="AS8" s="65"/>
      <c r="AT8" s="69">
        <f t="shared" si="51"/>
        <v>600</v>
      </c>
      <c r="AU8" s="70">
        <f t="shared" si="22"/>
        <v>0</v>
      </c>
      <c r="AW8" s="68">
        <f t="shared" si="23"/>
        <v>0</v>
      </c>
      <c r="AX8" s="65" t="str">
        <f t="shared" si="24"/>
        <v>hod</v>
      </c>
      <c r="AY8" s="65"/>
      <c r="AZ8" s="69">
        <f t="shared" si="52"/>
        <v>600</v>
      </c>
      <c r="BA8" s="70">
        <f t="shared" si="25"/>
        <v>0</v>
      </c>
      <c r="BC8" s="68">
        <f t="shared" si="26"/>
        <v>0</v>
      </c>
      <c r="BD8" s="65" t="str">
        <f t="shared" si="27"/>
        <v>hod</v>
      </c>
      <c r="BE8" s="65"/>
      <c r="BF8" s="69">
        <f t="shared" si="53"/>
        <v>600</v>
      </c>
      <c r="BG8" s="70">
        <f t="shared" si="28"/>
        <v>0</v>
      </c>
      <c r="BI8" s="68">
        <f t="shared" si="29"/>
        <v>0</v>
      </c>
      <c r="BJ8" s="65" t="str">
        <f t="shared" si="30"/>
        <v>hod</v>
      </c>
      <c r="BK8" s="65"/>
      <c r="BL8" s="69">
        <f t="shared" si="54"/>
        <v>800</v>
      </c>
      <c r="BM8" s="70">
        <f t="shared" si="31"/>
        <v>0</v>
      </c>
      <c r="BO8" s="68">
        <f t="shared" si="32"/>
        <v>0</v>
      </c>
      <c r="BP8" s="65" t="str">
        <f t="shared" si="33"/>
        <v>hod</v>
      </c>
      <c r="BQ8" s="65"/>
      <c r="BR8" s="69">
        <f t="shared" si="55"/>
        <v>650</v>
      </c>
      <c r="BS8" s="70">
        <f t="shared" si="34"/>
        <v>0</v>
      </c>
      <c r="BU8" s="68">
        <f t="shared" si="35"/>
        <v>0</v>
      </c>
      <c r="BV8" s="65" t="str">
        <f t="shared" si="36"/>
        <v>hod</v>
      </c>
      <c r="BW8" s="65"/>
      <c r="BX8" s="69">
        <f t="shared" si="56"/>
        <v>950</v>
      </c>
      <c r="BY8" s="70">
        <f t="shared" si="37"/>
        <v>0</v>
      </c>
      <c r="CA8" s="68">
        <f t="shared" si="38"/>
        <v>0</v>
      </c>
      <c r="CB8" s="65" t="str">
        <f t="shared" si="39"/>
        <v>hod</v>
      </c>
      <c r="CC8" s="65"/>
      <c r="CD8" s="69">
        <f t="shared" si="57"/>
        <v>600</v>
      </c>
      <c r="CE8" s="70">
        <f t="shared" si="40"/>
        <v>0</v>
      </c>
      <c r="CG8" s="68">
        <f t="shared" si="41"/>
        <v>0</v>
      </c>
      <c r="CH8" s="69">
        <f t="shared" si="58"/>
        <v>0</v>
      </c>
      <c r="CI8" s="85">
        <f t="shared" si="59"/>
        <v>0</v>
      </c>
    </row>
    <row r="9" ht="12.75" customHeight="1">
      <c r="A9" s="68">
        <v>0.0</v>
      </c>
      <c r="B9" s="65" t="s">
        <v>86</v>
      </c>
      <c r="C9" s="65"/>
      <c r="D9" s="69">
        <f t="shared" si="42"/>
        <v>500</v>
      </c>
      <c r="E9" s="70">
        <f t="shared" si="3"/>
        <v>0</v>
      </c>
      <c r="G9" s="68">
        <f t="shared" ref="G9:H9" si="64">A9</f>
        <v>0</v>
      </c>
      <c r="H9" s="65" t="str">
        <f t="shared" si="64"/>
        <v>hod</v>
      </c>
      <c r="I9" s="65"/>
      <c r="J9" s="69">
        <f t="shared" si="44"/>
        <v>400</v>
      </c>
      <c r="K9" s="70">
        <f t="shared" si="5"/>
        <v>0</v>
      </c>
      <c r="M9" s="68">
        <f t="shared" si="6"/>
        <v>0</v>
      </c>
      <c r="N9" s="65" t="str">
        <f t="shared" si="7"/>
        <v>hod</v>
      </c>
      <c r="O9" s="65"/>
      <c r="P9" s="69">
        <f t="shared" si="45"/>
        <v>700</v>
      </c>
      <c r="Q9" s="70">
        <f t="shared" si="8"/>
        <v>0</v>
      </c>
      <c r="S9" s="68">
        <f t="shared" si="9"/>
        <v>0</v>
      </c>
      <c r="T9" s="65" t="str">
        <f t="shared" si="10"/>
        <v>hod</v>
      </c>
      <c r="U9" s="65"/>
      <c r="V9" s="69">
        <f t="shared" si="46"/>
        <v>650</v>
      </c>
      <c r="W9" s="70">
        <f t="shared" si="11"/>
        <v>0</v>
      </c>
      <c r="Y9" s="68">
        <f t="shared" si="12"/>
        <v>0</v>
      </c>
      <c r="Z9" s="65" t="str">
        <f t="shared" si="13"/>
        <v>hod</v>
      </c>
      <c r="AA9" s="65"/>
      <c r="AB9" s="69">
        <f t="shared" si="47"/>
        <v>650</v>
      </c>
      <c r="AC9" s="70">
        <f t="shared" si="14"/>
        <v>0</v>
      </c>
      <c r="AE9" s="68">
        <f t="shared" si="15"/>
        <v>0</v>
      </c>
      <c r="AF9" s="65" t="str">
        <f t="shared" si="16"/>
        <v>hod</v>
      </c>
      <c r="AG9" s="65"/>
      <c r="AH9" s="69">
        <f t="shared" si="48"/>
        <v>700</v>
      </c>
      <c r="AI9" s="70">
        <f t="shared" si="17"/>
        <v>0</v>
      </c>
      <c r="AK9" s="68">
        <f t="shared" si="18"/>
        <v>0</v>
      </c>
      <c r="AL9" s="65" t="str">
        <f t="shared" si="19"/>
        <v>hod</v>
      </c>
      <c r="AM9" s="65"/>
      <c r="AN9" s="69">
        <f t="shared" si="49"/>
        <v>600</v>
      </c>
      <c r="AO9" s="70">
        <f t="shared" si="20"/>
        <v>0</v>
      </c>
      <c r="AQ9" s="68">
        <f t="shared" ref="AQ9:AR9" si="65">AK9</f>
        <v>0</v>
      </c>
      <c r="AR9" s="65" t="str">
        <f t="shared" si="65"/>
        <v>hod</v>
      </c>
      <c r="AS9" s="65"/>
      <c r="AT9" s="69">
        <f t="shared" si="51"/>
        <v>600</v>
      </c>
      <c r="AU9" s="70">
        <f t="shared" si="22"/>
        <v>0</v>
      </c>
      <c r="AW9" s="68">
        <f t="shared" si="23"/>
        <v>0</v>
      </c>
      <c r="AX9" s="65" t="str">
        <f t="shared" si="24"/>
        <v>hod</v>
      </c>
      <c r="AY9" s="65"/>
      <c r="AZ9" s="69">
        <f t="shared" si="52"/>
        <v>600</v>
      </c>
      <c r="BA9" s="70">
        <f t="shared" si="25"/>
        <v>0</v>
      </c>
      <c r="BC9" s="68">
        <f t="shared" si="26"/>
        <v>0</v>
      </c>
      <c r="BD9" s="65" t="str">
        <f t="shared" si="27"/>
        <v>hod</v>
      </c>
      <c r="BE9" s="65"/>
      <c r="BF9" s="69">
        <f t="shared" si="53"/>
        <v>600</v>
      </c>
      <c r="BG9" s="70">
        <f t="shared" si="28"/>
        <v>0</v>
      </c>
      <c r="BI9" s="68">
        <f t="shared" si="29"/>
        <v>0</v>
      </c>
      <c r="BJ9" s="65" t="str">
        <f t="shared" si="30"/>
        <v>hod</v>
      </c>
      <c r="BK9" s="65"/>
      <c r="BL9" s="69">
        <f t="shared" si="54"/>
        <v>800</v>
      </c>
      <c r="BM9" s="70">
        <f t="shared" si="31"/>
        <v>0</v>
      </c>
      <c r="BO9" s="68">
        <f t="shared" si="32"/>
        <v>0</v>
      </c>
      <c r="BP9" s="65" t="str">
        <f t="shared" si="33"/>
        <v>hod</v>
      </c>
      <c r="BQ9" s="65"/>
      <c r="BR9" s="69">
        <f t="shared" si="55"/>
        <v>650</v>
      </c>
      <c r="BS9" s="70">
        <f t="shared" si="34"/>
        <v>0</v>
      </c>
      <c r="BU9" s="68">
        <f t="shared" si="35"/>
        <v>0</v>
      </c>
      <c r="BV9" s="65" t="str">
        <f t="shared" si="36"/>
        <v>hod</v>
      </c>
      <c r="BW9" s="65"/>
      <c r="BX9" s="69">
        <f t="shared" si="56"/>
        <v>950</v>
      </c>
      <c r="BY9" s="70">
        <f t="shared" si="37"/>
        <v>0</v>
      </c>
      <c r="CA9" s="68">
        <f t="shared" si="38"/>
        <v>0</v>
      </c>
      <c r="CB9" s="65" t="str">
        <f t="shared" si="39"/>
        <v>hod</v>
      </c>
      <c r="CC9" s="65"/>
      <c r="CD9" s="69">
        <f t="shared" si="57"/>
        <v>600</v>
      </c>
      <c r="CE9" s="70">
        <f t="shared" si="40"/>
        <v>0</v>
      </c>
      <c r="CG9" s="68">
        <f t="shared" si="41"/>
        <v>0</v>
      </c>
      <c r="CH9" s="69">
        <f t="shared" si="58"/>
        <v>0</v>
      </c>
      <c r="CI9" s="85">
        <f t="shared" si="59"/>
        <v>0</v>
      </c>
    </row>
    <row r="10" ht="12.75" customHeight="1">
      <c r="A10" s="68">
        <v>0.0</v>
      </c>
      <c r="B10" s="65" t="s">
        <v>86</v>
      </c>
      <c r="C10" s="65"/>
      <c r="D10" s="69">
        <f t="shared" si="42"/>
        <v>500</v>
      </c>
      <c r="E10" s="70">
        <f t="shared" si="3"/>
        <v>0</v>
      </c>
      <c r="G10" s="68">
        <f t="shared" ref="G10:H10" si="66">A10</f>
        <v>0</v>
      </c>
      <c r="H10" s="65" t="str">
        <f t="shared" si="66"/>
        <v>hod</v>
      </c>
      <c r="I10" s="65"/>
      <c r="J10" s="69">
        <f t="shared" si="44"/>
        <v>400</v>
      </c>
      <c r="K10" s="70">
        <f t="shared" si="5"/>
        <v>0</v>
      </c>
      <c r="M10" s="68">
        <f t="shared" si="6"/>
        <v>0</v>
      </c>
      <c r="N10" s="65" t="str">
        <f t="shared" si="7"/>
        <v>hod</v>
      </c>
      <c r="O10" s="65"/>
      <c r="P10" s="69">
        <f t="shared" si="45"/>
        <v>700</v>
      </c>
      <c r="Q10" s="70">
        <f t="shared" si="8"/>
        <v>0</v>
      </c>
      <c r="S10" s="68">
        <f t="shared" si="9"/>
        <v>0</v>
      </c>
      <c r="T10" s="65" t="str">
        <f t="shared" si="10"/>
        <v>hod</v>
      </c>
      <c r="U10" s="65"/>
      <c r="V10" s="69">
        <f t="shared" si="46"/>
        <v>650</v>
      </c>
      <c r="W10" s="70">
        <f t="shared" si="11"/>
        <v>0</v>
      </c>
      <c r="Y10" s="68">
        <f t="shared" si="12"/>
        <v>0</v>
      </c>
      <c r="Z10" s="65" t="str">
        <f t="shared" si="13"/>
        <v>hod</v>
      </c>
      <c r="AA10" s="65"/>
      <c r="AB10" s="69">
        <f t="shared" si="47"/>
        <v>650</v>
      </c>
      <c r="AC10" s="70">
        <f t="shared" si="14"/>
        <v>0</v>
      </c>
      <c r="AE10" s="68">
        <f t="shared" si="15"/>
        <v>0</v>
      </c>
      <c r="AF10" s="65" t="str">
        <f t="shared" si="16"/>
        <v>hod</v>
      </c>
      <c r="AG10" s="65"/>
      <c r="AH10" s="69">
        <f t="shared" si="48"/>
        <v>700</v>
      </c>
      <c r="AI10" s="70">
        <f t="shared" si="17"/>
        <v>0</v>
      </c>
      <c r="AK10" s="68">
        <f t="shared" si="18"/>
        <v>0</v>
      </c>
      <c r="AL10" s="65" t="str">
        <f t="shared" si="19"/>
        <v>hod</v>
      </c>
      <c r="AM10" s="65"/>
      <c r="AN10" s="69">
        <f t="shared" si="49"/>
        <v>600</v>
      </c>
      <c r="AO10" s="70">
        <f t="shared" si="20"/>
        <v>0</v>
      </c>
      <c r="AQ10" s="68">
        <f t="shared" ref="AQ10:AR10" si="67">AK10</f>
        <v>0</v>
      </c>
      <c r="AR10" s="65" t="str">
        <f t="shared" si="67"/>
        <v>hod</v>
      </c>
      <c r="AS10" s="65"/>
      <c r="AT10" s="69">
        <f t="shared" si="51"/>
        <v>600</v>
      </c>
      <c r="AU10" s="70">
        <f t="shared" si="22"/>
        <v>0</v>
      </c>
      <c r="AW10" s="68">
        <f t="shared" si="23"/>
        <v>0</v>
      </c>
      <c r="AX10" s="65" t="str">
        <f t="shared" si="24"/>
        <v>hod</v>
      </c>
      <c r="AY10" s="65"/>
      <c r="AZ10" s="69">
        <f t="shared" si="52"/>
        <v>600</v>
      </c>
      <c r="BA10" s="70">
        <f t="shared" si="25"/>
        <v>0</v>
      </c>
      <c r="BC10" s="68">
        <f t="shared" si="26"/>
        <v>0</v>
      </c>
      <c r="BD10" s="65" t="str">
        <f t="shared" si="27"/>
        <v>hod</v>
      </c>
      <c r="BE10" s="65"/>
      <c r="BF10" s="69">
        <f t="shared" si="53"/>
        <v>600</v>
      </c>
      <c r="BG10" s="70">
        <f t="shared" si="28"/>
        <v>0</v>
      </c>
      <c r="BI10" s="68">
        <f t="shared" si="29"/>
        <v>0</v>
      </c>
      <c r="BJ10" s="65" t="str">
        <f t="shared" si="30"/>
        <v>hod</v>
      </c>
      <c r="BK10" s="65"/>
      <c r="BL10" s="69">
        <f t="shared" si="54"/>
        <v>800</v>
      </c>
      <c r="BM10" s="70">
        <f t="shared" si="31"/>
        <v>0</v>
      </c>
      <c r="BO10" s="68">
        <f t="shared" si="32"/>
        <v>0</v>
      </c>
      <c r="BP10" s="65" t="str">
        <f t="shared" si="33"/>
        <v>hod</v>
      </c>
      <c r="BQ10" s="65"/>
      <c r="BR10" s="69">
        <f t="shared" si="55"/>
        <v>650</v>
      </c>
      <c r="BS10" s="70">
        <f t="shared" si="34"/>
        <v>0</v>
      </c>
      <c r="BU10" s="68">
        <f t="shared" si="35"/>
        <v>0</v>
      </c>
      <c r="BV10" s="65" t="str">
        <f t="shared" si="36"/>
        <v>hod</v>
      </c>
      <c r="BW10" s="65"/>
      <c r="BX10" s="69">
        <f t="shared" si="56"/>
        <v>950</v>
      </c>
      <c r="BY10" s="70">
        <f t="shared" si="37"/>
        <v>0</v>
      </c>
      <c r="CA10" s="68">
        <f t="shared" si="38"/>
        <v>0</v>
      </c>
      <c r="CB10" s="65" t="str">
        <f t="shared" si="39"/>
        <v>hod</v>
      </c>
      <c r="CC10" s="65"/>
      <c r="CD10" s="69">
        <f t="shared" si="57"/>
        <v>600</v>
      </c>
      <c r="CE10" s="70">
        <f t="shared" si="40"/>
        <v>0</v>
      </c>
      <c r="CG10" s="68">
        <f t="shared" si="41"/>
        <v>0</v>
      </c>
      <c r="CH10" s="69">
        <f t="shared" si="58"/>
        <v>0</v>
      </c>
      <c r="CI10" s="85">
        <f t="shared" si="59"/>
        <v>0</v>
      </c>
    </row>
    <row r="11" ht="12.75" customHeight="1">
      <c r="A11" s="68">
        <v>0.0</v>
      </c>
      <c r="B11" s="65" t="s">
        <v>86</v>
      </c>
      <c r="C11" s="65"/>
      <c r="D11" s="69">
        <f t="shared" si="42"/>
        <v>500</v>
      </c>
      <c r="E11" s="70">
        <f t="shared" si="3"/>
        <v>0</v>
      </c>
      <c r="G11" s="68">
        <f t="shared" ref="G11:H11" si="68">A11</f>
        <v>0</v>
      </c>
      <c r="H11" s="65" t="str">
        <f t="shared" si="68"/>
        <v>hod</v>
      </c>
      <c r="I11" s="65"/>
      <c r="J11" s="69">
        <f t="shared" si="44"/>
        <v>400</v>
      </c>
      <c r="K11" s="70">
        <f t="shared" si="5"/>
        <v>0</v>
      </c>
      <c r="M11" s="68">
        <f t="shared" si="6"/>
        <v>0</v>
      </c>
      <c r="N11" s="65" t="str">
        <f t="shared" si="7"/>
        <v>hod</v>
      </c>
      <c r="O11" s="65"/>
      <c r="P11" s="69">
        <f t="shared" si="45"/>
        <v>700</v>
      </c>
      <c r="Q11" s="70">
        <f t="shared" si="8"/>
        <v>0</v>
      </c>
      <c r="S11" s="68">
        <f t="shared" si="9"/>
        <v>0</v>
      </c>
      <c r="T11" s="65" t="str">
        <f t="shared" si="10"/>
        <v>hod</v>
      </c>
      <c r="U11" s="65"/>
      <c r="V11" s="69">
        <f t="shared" si="46"/>
        <v>650</v>
      </c>
      <c r="W11" s="70">
        <f t="shared" si="11"/>
        <v>0</v>
      </c>
      <c r="Y11" s="68">
        <f t="shared" si="12"/>
        <v>0</v>
      </c>
      <c r="Z11" s="65" t="str">
        <f t="shared" si="13"/>
        <v>hod</v>
      </c>
      <c r="AA11" s="65"/>
      <c r="AB11" s="69">
        <f t="shared" si="47"/>
        <v>650</v>
      </c>
      <c r="AC11" s="70">
        <f t="shared" si="14"/>
        <v>0</v>
      </c>
      <c r="AE11" s="68">
        <f t="shared" si="15"/>
        <v>0</v>
      </c>
      <c r="AF11" s="65" t="str">
        <f t="shared" si="16"/>
        <v>hod</v>
      </c>
      <c r="AG11" s="65"/>
      <c r="AH11" s="69">
        <f t="shared" si="48"/>
        <v>700</v>
      </c>
      <c r="AI11" s="70">
        <f t="shared" si="17"/>
        <v>0</v>
      </c>
      <c r="AK11" s="68">
        <f t="shared" si="18"/>
        <v>0</v>
      </c>
      <c r="AL11" s="65" t="str">
        <f t="shared" si="19"/>
        <v>hod</v>
      </c>
      <c r="AM11" s="65"/>
      <c r="AN11" s="69">
        <f t="shared" si="49"/>
        <v>600</v>
      </c>
      <c r="AO11" s="70">
        <f t="shared" si="20"/>
        <v>0</v>
      </c>
      <c r="AQ11" s="68">
        <f t="shared" ref="AQ11:AR11" si="69">AK11</f>
        <v>0</v>
      </c>
      <c r="AR11" s="65" t="str">
        <f t="shared" si="69"/>
        <v>hod</v>
      </c>
      <c r="AS11" s="65"/>
      <c r="AT11" s="69">
        <f t="shared" si="51"/>
        <v>600</v>
      </c>
      <c r="AU11" s="70">
        <f t="shared" si="22"/>
        <v>0</v>
      </c>
      <c r="AW11" s="68">
        <f t="shared" si="23"/>
        <v>0</v>
      </c>
      <c r="AX11" s="65" t="str">
        <f t="shared" si="24"/>
        <v>hod</v>
      </c>
      <c r="AY11" s="65"/>
      <c r="AZ11" s="69">
        <f t="shared" si="52"/>
        <v>600</v>
      </c>
      <c r="BA11" s="70">
        <f t="shared" si="25"/>
        <v>0</v>
      </c>
      <c r="BC11" s="68">
        <f t="shared" si="26"/>
        <v>0</v>
      </c>
      <c r="BD11" s="65" t="str">
        <f t="shared" si="27"/>
        <v>hod</v>
      </c>
      <c r="BE11" s="65"/>
      <c r="BF11" s="69">
        <f t="shared" si="53"/>
        <v>600</v>
      </c>
      <c r="BG11" s="70">
        <f t="shared" si="28"/>
        <v>0</v>
      </c>
      <c r="BI11" s="68">
        <f t="shared" si="29"/>
        <v>0</v>
      </c>
      <c r="BJ11" s="65" t="str">
        <f t="shared" si="30"/>
        <v>hod</v>
      </c>
      <c r="BK11" s="65"/>
      <c r="BL11" s="69">
        <f t="shared" si="54"/>
        <v>800</v>
      </c>
      <c r="BM11" s="70">
        <f t="shared" si="31"/>
        <v>0</v>
      </c>
      <c r="BO11" s="68">
        <f t="shared" si="32"/>
        <v>0</v>
      </c>
      <c r="BP11" s="65" t="str">
        <f t="shared" si="33"/>
        <v>hod</v>
      </c>
      <c r="BQ11" s="65"/>
      <c r="BR11" s="69">
        <f t="shared" si="55"/>
        <v>650</v>
      </c>
      <c r="BS11" s="70">
        <f t="shared" si="34"/>
        <v>0</v>
      </c>
      <c r="BU11" s="68">
        <f t="shared" si="35"/>
        <v>0</v>
      </c>
      <c r="BV11" s="65" t="str">
        <f t="shared" si="36"/>
        <v>hod</v>
      </c>
      <c r="BW11" s="65"/>
      <c r="BX11" s="69">
        <f t="shared" si="56"/>
        <v>950</v>
      </c>
      <c r="BY11" s="70">
        <f t="shared" si="37"/>
        <v>0</v>
      </c>
      <c r="CA11" s="68">
        <f t="shared" si="38"/>
        <v>0</v>
      </c>
      <c r="CB11" s="65" t="str">
        <f t="shared" si="39"/>
        <v>hod</v>
      </c>
      <c r="CC11" s="65"/>
      <c r="CD11" s="69">
        <f t="shared" si="57"/>
        <v>600</v>
      </c>
      <c r="CE11" s="70">
        <f t="shared" si="40"/>
        <v>0</v>
      </c>
      <c r="CG11" s="68">
        <f t="shared" si="41"/>
        <v>0</v>
      </c>
      <c r="CH11" s="69">
        <f t="shared" si="58"/>
        <v>0</v>
      </c>
      <c r="CI11" s="85">
        <f t="shared" si="59"/>
        <v>0</v>
      </c>
    </row>
    <row r="12" ht="12.75" customHeight="1">
      <c r="A12" s="68">
        <v>0.0</v>
      </c>
      <c r="B12" s="65" t="s">
        <v>86</v>
      </c>
      <c r="C12" s="65"/>
      <c r="D12" s="69">
        <f t="shared" si="42"/>
        <v>500</v>
      </c>
      <c r="E12" s="70">
        <f t="shared" si="3"/>
        <v>0</v>
      </c>
      <c r="G12" s="68">
        <f t="shared" ref="G12:H12" si="70">A12</f>
        <v>0</v>
      </c>
      <c r="H12" s="65" t="str">
        <f t="shared" si="70"/>
        <v>hod</v>
      </c>
      <c r="I12" s="65"/>
      <c r="J12" s="69">
        <f t="shared" si="44"/>
        <v>400</v>
      </c>
      <c r="K12" s="70">
        <f t="shared" si="5"/>
        <v>0</v>
      </c>
      <c r="M12" s="68">
        <f t="shared" si="6"/>
        <v>0</v>
      </c>
      <c r="N12" s="65" t="str">
        <f t="shared" si="7"/>
        <v>hod</v>
      </c>
      <c r="O12" s="65"/>
      <c r="P12" s="69">
        <f t="shared" si="45"/>
        <v>700</v>
      </c>
      <c r="Q12" s="70">
        <f t="shared" si="8"/>
        <v>0</v>
      </c>
      <c r="S12" s="68">
        <f t="shared" si="9"/>
        <v>0</v>
      </c>
      <c r="T12" s="65" t="str">
        <f t="shared" si="10"/>
        <v>hod</v>
      </c>
      <c r="U12" s="65"/>
      <c r="V12" s="69">
        <f t="shared" si="46"/>
        <v>650</v>
      </c>
      <c r="W12" s="70">
        <f t="shared" si="11"/>
        <v>0</v>
      </c>
      <c r="Y12" s="68">
        <f t="shared" si="12"/>
        <v>0</v>
      </c>
      <c r="Z12" s="65" t="str">
        <f t="shared" si="13"/>
        <v>hod</v>
      </c>
      <c r="AA12" s="65"/>
      <c r="AB12" s="69">
        <f t="shared" si="47"/>
        <v>650</v>
      </c>
      <c r="AC12" s="70">
        <f t="shared" si="14"/>
        <v>0</v>
      </c>
      <c r="AE12" s="68">
        <f t="shared" si="15"/>
        <v>0</v>
      </c>
      <c r="AF12" s="65" t="str">
        <f t="shared" si="16"/>
        <v>hod</v>
      </c>
      <c r="AG12" s="65"/>
      <c r="AH12" s="69">
        <f t="shared" si="48"/>
        <v>700</v>
      </c>
      <c r="AI12" s="70">
        <f t="shared" si="17"/>
        <v>0</v>
      </c>
      <c r="AK12" s="68">
        <f t="shared" si="18"/>
        <v>0</v>
      </c>
      <c r="AL12" s="65" t="str">
        <f t="shared" si="19"/>
        <v>hod</v>
      </c>
      <c r="AM12" s="65"/>
      <c r="AN12" s="69">
        <f t="shared" si="49"/>
        <v>600</v>
      </c>
      <c r="AO12" s="70">
        <f t="shared" si="20"/>
        <v>0</v>
      </c>
      <c r="AQ12" s="68">
        <f t="shared" ref="AQ12:AR12" si="71">AK12</f>
        <v>0</v>
      </c>
      <c r="AR12" s="65" t="str">
        <f t="shared" si="71"/>
        <v>hod</v>
      </c>
      <c r="AS12" s="65"/>
      <c r="AT12" s="69">
        <f t="shared" si="51"/>
        <v>600</v>
      </c>
      <c r="AU12" s="70">
        <f t="shared" si="22"/>
        <v>0</v>
      </c>
      <c r="AW12" s="68">
        <f t="shared" si="23"/>
        <v>0</v>
      </c>
      <c r="AX12" s="65" t="str">
        <f t="shared" si="24"/>
        <v>hod</v>
      </c>
      <c r="AY12" s="65"/>
      <c r="AZ12" s="69">
        <f t="shared" si="52"/>
        <v>600</v>
      </c>
      <c r="BA12" s="70">
        <f t="shared" si="25"/>
        <v>0</v>
      </c>
      <c r="BC12" s="68">
        <f t="shared" si="26"/>
        <v>0</v>
      </c>
      <c r="BD12" s="65" t="str">
        <f t="shared" si="27"/>
        <v>hod</v>
      </c>
      <c r="BE12" s="65"/>
      <c r="BF12" s="69">
        <f t="shared" si="53"/>
        <v>600</v>
      </c>
      <c r="BG12" s="70">
        <f t="shared" si="28"/>
        <v>0</v>
      </c>
      <c r="BI12" s="68">
        <f t="shared" si="29"/>
        <v>0</v>
      </c>
      <c r="BJ12" s="65" t="str">
        <f t="shared" si="30"/>
        <v>hod</v>
      </c>
      <c r="BK12" s="65"/>
      <c r="BL12" s="69">
        <f t="shared" si="54"/>
        <v>800</v>
      </c>
      <c r="BM12" s="70">
        <f t="shared" si="31"/>
        <v>0</v>
      </c>
      <c r="BO12" s="68">
        <f t="shared" si="32"/>
        <v>0</v>
      </c>
      <c r="BP12" s="65" t="str">
        <f t="shared" si="33"/>
        <v>hod</v>
      </c>
      <c r="BQ12" s="65"/>
      <c r="BR12" s="69">
        <f t="shared" si="55"/>
        <v>650</v>
      </c>
      <c r="BS12" s="70">
        <f t="shared" si="34"/>
        <v>0</v>
      </c>
      <c r="BU12" s="68">
        <f t="shared" si="35"/>
        <v>0</v>
      </c>
      <c r="BV12" s="65" t="str">
        <f t="shared" si="36"/>
        <v>hod</v>
      </c>
      <c r="BW12" s="65"/>
      <c r="BX12" s="69">
        <f t="shared" si="56"/>
        <v>950</v>
      </c>
      <c r="BY12" s="70">
        <f t="shared" si="37"/>
        <v>0</v>
      </c>
      <c r="CA12" s="68">
        <f t="shared" si="38"/>
        <v>0</v>
      </c>
      <c r="CB12" s="65" t="str">
        <f t="shared" si="39"/>
        <v>hod</v>
      </c>
      <c r="CC12" s="65"/>
      <c r="CD12" s="69">
        <f t="shared" si="57"/>
        <v>600</v>
      </c>
      <c r="CE12" s="70">
        <f t="shared" si="40"/>
        <v>0</v>
      </c>
      <c r="CG12" s="68">
        <f t="shared" si="41"/>
        <v>0</v>
      </c>
      <c r="CH12" s="69">
        <f t="shared" si="58"/>
        <v>0</v>
      </c>
      <c r="CI12" s="85">
        <f t="shared" si="59"/>
        <v>0</v>
      </c>
    </row>
    <row r="13" ht="12.75" customHeight="1">
      <c r="A13" s="68">
        <v>0.0</v>
      </c>
      <c r="B13" s="65" t="s">
        <v>86</v>
      </c>
      <c r="C13" s="65"/>
      <c r="D13" s="69">
        <f t="shared" si="42"/>
        <v>500</v>
      </c>
      <c r="E13" s="70">
        <f t="shared" si="3"/>
        <v>0</v>
      </c>
      <c r="G13" s="68">
        <f t="shared" ref="G13:H13" si="72">A13</f>
        <v>0</v>
      </c>
      <c r="H13" s="65" t="str">
        <f t="shared" si="72"/>
        <v>hod</v>
      </c>
      <c r="I13" s="65"/>
      <c r="J13" s="69">
        <f t="shared" si="44"/>
        <v>400</v>
      </c>
      <c r="K13" s="70">
        <f t="shared" si="5"/>
        <v>0</v>
      </c>
      <c r="M13" s="68">
        <f t="shared" si="6"/>
        <v>0</v>
      </c>
      <c r="N13" s="65" t="str">
        <f t="shared" si="7"/>
        <v>hod</v>
      </c>
      <c r="O13" s="65"/>
      <c r="P13" s="69">
        <f t="shared" si="45"/>
        <v>700</v>
      </c>
      <c r="Q13" s="70">
        <f t="shared" si="8"/>
        <v>0</v>
      </c>
      <c r="S13" s="68">
        <f t="shared" si="9"/>
        <v>0</v>
      </c>
      <c r="T13" s="65" t="str">
        <f t="shared" si="10"/>
        <v>hod</v>
      </c>
      <c r="U13" s="65"/>
      <c r="V13" s="69">
        <f t="shared" si="46"/>
        <v>650</v>
      </c>
      <c r="W13" s="70">
        <f t="shared" si="11"/>
        <v>0</v>
      </c>
      <c r="Y13" s="68">
        <f t="shared" si="12"/>
        <v>0</v>
      </c>
      <c r="Z13" s="65" t="str">
        <f t="shared" si="13"/>
        <v>hod</v>
      </c>
      <c r="AA13" s="65"/>
      <c r="AB13" s="69">
        <f t="shared" si="47"/>
        <v>650</v>
      </c>
      <c r="AC13" s="70">
        <f t="shared" si="14"/>
        <v>0</v>
      </c>
      <c r="AE13" s="68">
        <f t="shared" si="15"/>
        <v>0</v>
      </c>
      <c r="AF13" s="65" t="str">
        <f t="shared" si="16"/>
        <v>hod</v>
      </c>
      <c r="AG13" s="65"/>
      <c r="AH13" s="69">
        <f t="shared" si="48"/>
        <v>700</v>
      </c>
      <c r="AI13" s="70">
        <f t="shared" si="17"/>
        <v>0</v>
      </c>
      <c r="AK13" s="68">
        <f t="shared" si="18"/>
        <v>0</v>
      </c>
      <c r="AL13" s="65" t="str">
        <f t="shared" si="19"/>
        <v>hod</v>
      </c>
      <c r="AM13" s="65"/>
      <c r="AN13" s="69">
        <f t="shared" si="49"/>
        <v>600</v>
      </c>
      <c r="AO13" s="70">
        <f t="shared" si="20"/>
        <v>0</v>
      </c>
      <c r="AQ13" s="68">
        <f t="shared" ref="AQ13:AR13" si="73">AK13</f>
        <v>0</v>
      </c>
      <c r="AR13" s="65" t="str">
        <f t="shared" si="73"/>
        <v>hod</v>
      </c>
      <c r="AS13" s="65"/>
      <c r="AT13" s="69">
        <f t="shared" si="51"/>
        <v>600</v>
      </c>
      <c r="AU13" s="70">
        <f t="shared" si="22"/>
        <v>0</v>
      </c>
      <c r="AW13" s="68">
        <f t="shared" si="23"/>
        <v>0</v>
      </c>
      <c r="AX13" s="65" t="str">
        <f t="shared" si="24"/>
        <v>hod</v>
      </c>
      <c r="AY13" s="65"/>
      <c r="AZ13" s="69">
        <f t="shared" si="52"/>
        <v>600</v>
      </c>
      <c r="BA13" s="70">
        <f t="shared" si="25"/>
        <v>0</v>
      </c>
      <c r="BC13" s="68">
        <f t="shared" si="26"/>
        <v>0</v>
      </c>
      <c r="BD13" s="65" t="str">
        <f t="shared" si="27"/>
        <v>hod</v>
      </c>
      <c r="BE13" s="65"/>
      <c r="BF13" s="69">
        <f t="shared" si="53"/>
        <v>600</v>
      </c>
      <c r="BG13" s="70">
        <f t="shared" si="28"/>
        <v>0</v>
      </c>
      <c r="BI13" s="68">
        <f t="shared" si="29"/>
        <v>0</v>
      </c>
      <c r="BJ13" s="65" t="str">
        <f t="shared" si="30"/>
        <v>hod</v>
      </c>
      <c r="BK13" s="65"/>
      <c r="BL13" s="69">
        <f t="shared" si="54"/>
        <v>800</v>
      </c>
      <c r="BM13" s="70">
        <f t="shared" si="31"/>
        <v>0</v>
      </c>
      <c r="BO13" s="68">
        <f t="shared" si="32"/>
        <v>0</v>
      </c>
      <c r="BP13" s="65" t="str">
        <f t="shared" si="33"/>
        <v>hod</v>
      </c>
      <c r="BQ13" s="65"/>
      <c r="BR13" s="69">
        <f t="shared" si="55"/>
        <v>650</v>
      </c>
      <c r="BS13" s="70">
        <f t="shared" si="34"/>
        <v>0</v>
      </c>
      <c r="BU13" s="68">
        <f t="shared" si="35"/>
        <v>0</v>
      </c>
      <c r="BV13" s="65" t="str">
        <f t="shared" si="36"/>
        <v>hod</v>
      </c>
      <c r="BW13" s="65"/>
      <c r="BX13" s="69">
        <f t="shared" si="56"/>
        <v>950</v>
      </c>
      <c r="BY13" s="70">
        <f t="shared" si="37"/>
        <v>0</v>
      </c>
      <c r="CA13" s="68">
        <f t="shared" si="38"/>
        <v>0</v>
      </c>
      <c r="CB13" s="65" t="str">
        <f t="shared" si="39"/>
        <v>hod</v>
      </c>
      <c r="CC13" s="65"/>
      <c r="CD13" s="69">
        <f t="shared" si="57"/>
        <v>600</v>
      </c>
      <c r="CE13" s="70">
        <f t="shared" si="40"/>
        <v>0</v>
      </c>
      <c r="CG13" s="68">
        <f t="shared" si="41"/>
        <v>0</v>
      </c>
      <c r="CH13" s="69">
        <f t="shared" si="58"/>
        <v>0</v>
      </c>
      <c r="CI13" s="85">
        <f t="shared" si="59"/>
        <v>0</v>
      </c>
    </row>
    <row r="14" ht="12.75" customHeight="1">
      <c r="A14" s="68">
        <v>0.0</v>
      </c>
      <c r="B14" s="65" t="s">
        <v>86</v>
      </c>
      <c r="C14" s="65"/>
      <c r="D14" s="69">
        <f t="shared" si="42"/>
        <v>500</v>
      </c>
      <c r="E14" s="70">
        <f t="shared" si="3"/>
        <v>0</v>
      </c>
      <c r="G14" s="68">
        <f t="shared" ref="G14:H14" si="74">A14</f>
        <v>0</v>
      </c>
      <c r="H14" s="65" t="str">
        <f t="shared" si="74"/>
        <v>hod</v>
      </c>
      <c r="I14" s="65"/>
      <c r="J14" s="69">
        <f t="shared" si="44"/>
        <v>400</v>
      </c>
      <c r="K14" s="70">
        <f t="shared" si="5"/>
        <v>0</v>
      </c>
      <c r="M14" s="68">
        <f t="shared" si="6"/>
        <v>0</v>
      </c>
      <c r="N14" s="65" t="str">
        <f t="shared" si="7"/>
        <v>hod</v>
      </c>
      <c r="O14" s="65"/>
      <c r="P14" s="69">
        <f t="shared" si="45"/>
        <v>700</v>
      </c>
      <c r="Q14" s="70">
        <f t="shared" si="8"/>
        <v>0</v>
      </c>
      <c r="S14" s="68">
        <f t="shared" si="9"/>
        <v>0</v>
      </c>
      <c r="T14" s="65" t="str">
        <f t="shared" si="10"/>
        <v>hod</v>
      </c>
      <c r="U14" s="65"/>
      <c r="V14" s="69">
        <f t="shared" si="46"/>
        <v>650</v>
      </c>
      <c r="W14" s="70">
        <f t="shared" si="11"/>
        <v>0</v>
      </c>
      <c r="Y14" s="68">
        <f t="shared" si="12"/>
        <v>0</v>
      </c>
      <c r="Z14" s="65" t="str">
        <f t="shared" si="13"/>
        <v>hod</v>
      </c>
      <c r="AA14" s="65"/>
      <c r="AB14" s="69">
        <f t="shared" si="47"/>
        <v>650</v>
      </c>
      <c r="AC14" s="70">
        <f t="shared" si="14"/>
        <v>0</v>
      </c>
      <c r="AE14" s="68">
        <f t="shared" si="15"/>
        <v>0</v>
      </c>
      <c r="AF14" s="65" t="str">
        <f t="shared" si="16"/>
        <v>hod</v>
      </c>
      <c r="AG14" s="65"/>
      <c r="AH14" s="69">
        <f t="shared" si="48"/>
        <v>700</v>
      </c>
      <c r="AI14" s="70">
        <f t="shared" si="17"/>
        <v>0</v>
      </c>
      <c r="AK14" s="68">
        <f t="shared" si="18"/>
        <v>0</v>
      </c>
      <c r="AL14" s="65" t="str">
        <f t="shared" si="19"/>
        <v>hod</v>
      </c>
      <c r="AM14" s="65"/>
      <c r="AN14" s="69">
        <f t="shared" si="49"/>
        <v>600</v>
      </c>
      <c r="AO14" s="70">
        <f t="shared" si="20"/>
        <v>0</v>
      </c>
      <c r="AQ14" s="68">
        <f t="shared" ref="AQ14:AR14" si="75">AK14</f>
        <v>0</v>
      </c>
      <c r="AR14" s="65" t="str">
        <f t="shared" si="75"/>
        <v>hod</v>
      </c>
      <c r="AS14" s="65"/>
      <c r="AT14" s="69">
        <f t="shared" si="51"/>
        <v>600</v>
      </c>
      <c r="AU14" s="70">
        <f t="shared" si="22"/>
        <v>0</v>
      </c>
      <c r="AW14" s="68">
        <f t="shared" si="23"/>
        <v>0</v>
      </c>
      <c r="AX14" s="65" t="str">
        <f t="shared" si="24"/>
        <v>hod</v>
      </c>
      <c r="AY14" s="65"/>
      <c r="AZ14" s="69">
        <f t="shared" si="52"/>
        <v>600</v>
      </c>
      <c r="BA14" s="70">
        <f t="shared" si="25"/>
        <v>0</v>
      </c>
      <c r="BC14" s="68">
        <f t="shared" si="26"/>
        <v>0</v>
      </c>
      <c r="BD14" s="65" t="str">
        <f t="shared" si="27"/>
        <v>hod</v>
      </c>
      <c r="BE14" s="65"/>
      <c r="BF14" s="69">
        <f t="shared" si="53"/>
        <v>600</v>
      </c>
      <c r="BG14" s="70">
        <f t="shared" si="28"/>
        <v>0</v>
      </c>
      <c r="BI14" s="68">
        <f t="shared" si="29"/>
        <v>0</v>
      </c>
      <c r="BJ14" s="65" t="str">
        <f t="shared" si="30"/>
        <v>hod</v>
      </c>
      <c r="BK14" s="65"/>
      <c r="BL14" s="69">
        <f t="shared" si="54"/>
        <v>800</v>
      </c>
      <c r="BM14" s="70">
        <f t="shared" si="31"/>
        <v>0</v>
      </c>
      <c r="BO14" s="68">
        <f t="shared" si="32"/>
        <v>0</v>
      </c>
      <c r="BP14" s="65" t="str">
        <f t="shared" si="33"/>
        <v>hod</v>
      </c>
      <c r="BQ14" s="65"/>
      <c r="BR14" s="69">
        <f t="shared" si="55"/>
        <v>650</v>
      </c>
      <c r="BS14" s="70">
        <f t="shared" si="34"/>
        <v>0</v>
      </c>
      <c r="BU14" s="68">
        <f t="shared" si="35"/>
        <v>0</v>
      </c>
      <c r="BV14" s="65" t="str">
        <f t="shared" si="36"/>
        <v>hod</v>
      </c>
      <c r="BW14" s="65"/>
      <c r="BX14" s="69">
        <f t="shared" si="56"/>
        <v>950</v>
      </c>
      <c r="BY14" s="70">
        <f t="shared" si="37"/>
        <v>0</v>
      </c>
      <c r="CA14" s="68">
        <f t="shared" si="38"/>
        <v>0</v>
      </c>
      <c r="CB14" s="65" t="str">
        <f t="shared" si="39"/>
        <v>hod</v>
      </c>
      <c r="CC14" s="65"/>
      <c r="CD14" s="69">
        <f t="shared" si="57"/>
        <v>600</v>
      </c>
      <c r="CE14" s="70">
        <f t="shared" si="40"/>
        <v>0</v>
      </c>
      <c r="CG14" s="68">
        <f t="shared" si="41"/>
        <v>0</v>
      </c>
      <c r="CH14" s="69">
        <f t="shared" si="58"/>
        <v>0</v>
      </c>
      <c r="CI14" s="85">
        <f t="shared" si="59"/>
        <v>0</v>
      </c>
    </row>
    <row r="15" ht="12.75" customHeight="1">
      <c r="A15" s="68">
        <v>0.0</v>
      </c>
      <c r="B15" s="65" t="s">
        <v>86</v>
      </c>
      <c r="C15" s="65"/>
      <c r="D15" s="69">
        <f t="shared" si="42"/>
        <v>500</v>
      </c>
      <c r="E15" s="70">
        <f t="shared" si="3"/>
        <v>0</v>
      </c>
      <c r="G15" s="68">
        <f t="shared" ref="G15:H15" si="76">A15</f>
        <v>0</v>
      </c>
      <c r="H15" s="65" t="str">
        <f t="shared" si="76"/>
        <v>hod</v>
      </c>
      <c r="I15" s="65"/>
      <c r="J15" s="69">
        <f t="shared" si="44"/>
        <v>400</v>
      </c>
      <c r="K15" s="70">
        <f t="shared" si="5"/>
        <v>0</v>
      </c>
      <c r="M15" s="68">
        <f t="shared" si="6"/>
        <v>0</v>
      </c>
      <c r="N15" s="65" t="str">
        <f t="shared" si="7"/>
        <v>hod</v>
      </c>
      <c r="O15" s="65"/>
      <c r="P15" s="69">
        <f t="shared" si="45"/>
        <v>700</v>
      </c>
      <c r="Q15" s="70">
        <f t="shared" si="8"/>
        <v>0</v>
      </c>
      <c r="S15" s="68">
        <f t="shared" si="9"/>
        <v>0</v>
      </c>
      <c r="T15" s="65" t="str">
        <f t="shared" si="10"/>
        <v>hod</v>
      </c>
      <c r="U15" s="65"/>
      <c r="V15" s="69">
        <f t="shared" si="46"/>
        <v>650</v>
      </c>
      <c r="W15" s="70">
        <f t="shared" si="11"/>
        <v>0</v>
      </c>
      <c r="Y15" s="68">
        <f t="shared" si="12"/>
        <v>0</v>
      </c>
      <c r="Z15" s="65" t="str">
        <f t="shared" si="13"/>
        <v>hod</v>
      </c>
      <c r="AA15" s="65"/>
      <c r="AB15" s="69">
        <f t="shared" si="47"/>
        <v>650</v>
      </c>
      <c r="AC15" s="70">
        <f t="shared" si="14"/>
        <v>0</v>
      </c>
      <c r="AE15" s="68">
        <f t="shared" si="15"/>
        <v>0</v>
      </c>
      <c r="AF15" s="65" t="str">
        <f t="shared" si="16"/>
        <v>hod</v>
      </c>
      <c r="AG15" s="65"/>
      <c r="AH15" s="69">
        <f t="shared" si="48"/>
        <v>700</v>
      </c>
      <c r="AI15" s="70">
        <f t="shared" si="17"/>
        <v>0</v>
      </c>
      <c r="AK15" s="68">
        <f t="shared" si="18"/>
        <v>0</v>
      </c>
      <c r="AL15" s="65" t="str">
        <f t="shared" si="19"/>
        <v>hod</v>
      </c>
      <c r="AM15" s="65"/>
      <c r="AN15" s="69">
        <f t="shared" si="49"/>
        <v>600</v>
      </c>
      <c r="AO15" s="70">
        <f t="shared" si="20"/>
        <v>0</v>
      </c>
      <c r="AQ15" s="68">
        <f t="shared" ref="AQ15:AR15" si="77">AK15</f>
        <v>0</v>
      </c>
      <c r="AR15" s="65" t="str">
        <f t="shared" si="77"/>
        <v>hod</v>
      </c>
      <c r="AS15" s="65"/>
      <c r="AT15" s="69">
        <f t="shared" si="51"/>
        <v>600</v>
      </c>
      <c r="AU15" s="70">
        <f t="shared" si="22"/>
        <v>0</v>
      </c>
      <c r="AW15" s="68">
        <f t="shared" si="23"/>
        <v>0</v>
      </c>
      <c r="AX15" s="65" t="str">
        <f t="shared" si="24"/>
        <v>hod</v>
      </c>
      <c r="AY15" s="65"/>
      <c r="AZ15" s="69">
        <f t="shared" si="52"/>
        <v>600</v>
      </c>
      <c r="BA15" s="70">
        <f t="shared" si="25"/>
        <v>0</v>
      </c>
      <c r="BC15" s="68">
        <f t="shared" si="26"/>
        <v>0</v>
      </c>
      <c r="BD15" s="65" t="str">
        <f t="shared" si="27"/>
        <v>hod</v>
      </c>
      <c r="BE15" s="65"/>
      <c r="BF15" s="69">
        <f t="shared" si="53"/>
        <v>600</v>
      </c>
      <c r="BG15" s="70">
        <f t="shared" si="28"/>
        <v>0</v>
      </c>
      <c r="BI15" s="68">
        <f t="shared" si="29"/>
        <v>0</v>
      </c>
      <c r="BJ15" s="65" t="str">
        <f t="shared" si="30"/>
        <v>hod</v>
      </c>
      <c r="BK15" s="65"/>
      <c r="BL15" s="69">
        <f t="shared" si="54"/>
        <v>800</v>
      </c>
      <c r="BM15" s="70">
        <f t="shared" si="31"/>
        <v>0</v>
      </c>
      <c r="BO15" s="68">
        <f t="shared" si="32"/>
        <v>0</v>
      </c>
      <c r="BP15" s="65" t="str">
        <f t="shared" si="33"/>
        <v>hod</v>
      </c>
      <c r="BQ15" s="65"/>
      <c r="BR15" s="69">
        <f t="shared" si="55"/>
        <v>650</v>
      </c>
      <c r="BS15" s="70">
        <f t="shared" si="34"/>
        <v>0</v>
      </c>
      <c r="BU15" s="68">
        <f t="shared" si="35"/>
        <v>0</v>
      </c>
      <c r="BV15" s="65" t="str">
        <f t="shared" si="36"/>
        <v>hod</v>
      </c>
      <c r="BW15" s="65"/>
      <c r="BX15" s="69">
        <f t="shared" si="56"/>
        <v>950</v>
      </c>
      <c r="BY15" s="70">
        <f t="shared" si="37"/>
        <v>0</v>
      </c>
      <c r="CA15" s="68">
        <f t="shared" si="38"/>
        <v>0</v>
      </c>
      <c r="CB15" s="65" t="str">
        <f t="shared" si="39"/>
        <v>hod</v>
      </c>
      <c r="CC15" s="65"/>
      <c r="CD15" s="69">
        <f t="shared" si="57"/>
        <v>600</v>
      </c>
      <c r="CE15" s="70">
        <f t="shared" si="40"/>
        <v>0</v>
      </c>
      <c r="CG15" s="68">
        <f t="shared" si="41"/>
        <v>0</v>
      </c>
      <c r="CH15" s="69">
        <f t="shared" si="58"/>
        <v>0</v>
      </c>
      <c r="CI15" s="85">
        <f t="shared" si="59"/>
        <v>0</v>
      </c>
    </row>
    <row r="16" ht="12.75" customHeight="1">
      <c r="A16" s="68">
        <v>0.0</v>
      </c>
      <c r="B16" s="65" t="s">
        <v>86</v>
      </c>
      <c r="C16" s="65"/>
      <c r="D16" s="69">
        <f t="shared" si="42"/>
        <v>500</v>
      </c>
      <c r="E16" s="70">
        <f t="shared" si="3"/>
        <v>0</v>
      </c>
      <c r="G16" s="68">
        <f t="shared" ref="G16:H16" si="78">A16</f>
        <v>0</v>
      </c>
      <c r="H16" s="65" t="str">
        <f t="shared" si="78"/>
        <v>hod</v>
      </c>
      <c r="I16" s="65"/>
      <c r="J16" s="69">
        <f t="shared" si="44"/>
        <v>400</v>
      </c>
      <c r="K16" s="70">
        <f t="shared" si="5"/>
        <v>0</v>
      </c>
      <c r="M16" s="68">
        <f t="shared" si="6"/>
        <v>0</v>
      </c>
      <c r="N16" s="65" t="str">
        <f t="shared" si="7"/>
        <v>hod</v>
      </c>
      <c r="O16" s="65"/>
      <c r="P16" s="69">
        <f t="shared" si="45"/>
        <v>700</v>
      </c>
      <c r="Q16" s="70">
        <f t="shared" si="8"/>
        <v>0</v>
      </c>
      <c r="S16" s="68">
        <f t="shared" si="9"/>
        <v>0</v>
      </c>
      <c r="T16" s="65" t="str">
        <f t="shared" si="10"/>
        <v>hod</v>
      </c>
      <c r="U16" s="65"/>
      <c r="V16" s="69">
        <f t="shared" si="46"/>
        <v>650</v>
      </c>
      <c r="W16" s="70">
        <f t="shared" si="11"/>
        <v>0</v>
      </c>
      <c r="Y16" s="68">
        <f t="shared" si="12"/>
        <v>0</v>
      </c>
      <c r="Z16" s="65" t="str">
        <f t="shared" si="13"/>
        <v>hod</v>
      </c>
      <c r="AA16" s="65"/>
      <c r="AB16" s="69">
        <f t="shared" si="47"/>
        <v>650</v>
      </c>
      <c r="AC16" s="70">
        <f t="shared" si="14"/>
        <v>0</v>
      </c>
      <c r="AE16" s="68">
        <f t="shared" si="15"/>
        <v>0</v>
      </c>
      <c r="AF16" s="65" t="str">
        <f t="shared" si="16"/>
        <v>hod</v>
      </c>
      <c r="AG16" s="65"/>
      <c r="AH16" s="69">
        <f t="shared" si="48"/>
        <v>700</v>
      </c>
      <c r="AI16" s="70">
        <f t="shared" si="17"/>
        <v>0</v>
      </c>
      <c r="AK16" s="68">
        <f t="shared" si="18"/>
        <v>0</v>
      </c>
      <c r="AL16" s="65" t="str">
        <f t="shared" si="19"/>
        <v>hod</v>
      </c>
      <c r="AM16" s="65"/>
      <c r="AN16" s="69">
        <f t="shared" si="49"/>
        <v>600</v>
      </c>
      <c r="AO16" s="70">
        <f t="shared" si="20"/>
        <v>0</v>
      </c>
      <c r="AQ16" s="68">
        <f t="shared" ref="AQ16:AR16" si="79">AK16</f>
        <v>0</v>
      </c>
      <c r="AR16" s="65" t="str">
        <f t="shared" si="79"/>
        <v>hod</v>
      </c>
      <c r="AS16" s="65"/>
      <c r="AT16" s="69">
        <f t="shared" si="51"/>
        <v>600</v>
      </c>
      <c r="AU16" s="70">
        <f t="shared" si="22"/>
        <v>0</v>
      </c>
      <c r="AW16" s="68">
        <f t="shared" si="23"/>
        <v>0</v>
      </c>
      <c r="AX16" s="65" t="str">
        <f t="shared" si="24"/>
        <v>hod</v>
      </c>
      <c r="AY16" s="65"/>
      <c r="AZ16" s="69">
        <f t="shared" si="52"/>
        <v>600</v>
      </c>
      <c r="BA16" s="70">
        <f t="shared" si="25"/>
        <v>0</v>
      </c>
      <c r="BC16" s="68">
        <f t="shared" si="26"/>
        <v>0</v>
      </c>
      <c r="BD16" s="65" t="str">
        <f t="shared" si="27"/>
        <v>hod</v>
      </c>
      <c r="BE16" s="65"/>
      <c r="BF16" s="69">
        <f t="shared" si="53"/>
        <v>600</v>
      </c>
      <c r="BG16" s="70">
        <f t="shared" si="28"/>
        <v>0</v>
      </c>
      <c r="BI16" s="68">
        <f t="shared" si="29"/>
        <v>0</v>
      </c>
      <c r="BJ16" s="65" t="str">
        <f t="shared" si="30"/>
        <v>hod</v>
      </c>
      <c r="BK16" s="65"/>
      <c r="BL16" s="69">
        <f t="shared" si="54"/>
        <v>800</v>
      </c>
      <c r="BM16" s="70">
        <f t="shared" si="31"/>
        <v>0</v>
      </c>
      <c r="BO16" s="68">
        <f t="shared" si="32"/>
        <v>0</v>
      </c>
      <c r="BP16" s="65" t="str">
        <f t="shared" si="33"/>
        <v>hod</v>
      </c>
      <c r="BQ16" s="65"/>
      <c r="BR16" s="69">
        <f t="shared" si="55"/>
        <v>650</v>
      </c>
      <c r="BS16" s="70">
        <f t="shared" si="34"/>
        <v>0</v>
      </c>
      <c r="BU16" s="68">
        <f t="shared" si="35"/>
        <v>0</v>
      </c>
      <c r="BV16" s="65" t="str">
        <f t="shared" si="36"/>
        <v>hod</v>
      </c>
      <c r="BW16" s="65"/>
      <c r="BX16" s="69">
        <f t="shared" si="56"/>
        <v>950</v>
      </c>
      <c r="BY16" s="70">
        <f t="shared" si="37"/>
        <v>0</v>
      </c>
      <c r="CA16" s="68">
        <f t="shared" si="38"/>
        <v>0</v>
      </c>
      <c r="CB16" s="65" t="str">
        <f t="shared" si="39"/>
        <v>hod</v>
      </c>
      <c r="CC16" s="65"/>
      <c r="CD16" s="69">
        <f t="shared" si="57"/>
        <v>600</v>
      </c>
      <c r="CE16" s="70">
        <f t="shared" si="40"/>
        <v>0</v>
      </c>
      <c r="CG16" s="68">
        <f t="shared" si="41"/>
        <v>0</v>
      </c>
      <c r="CH16" s="69">
        <f t="shared" si="58"/>
        <v>0</v>
      </c>
      <c r="CI16" s="85">
        <f t="shared" si="59"/>
        <v>0</v>
      </c>
    </row>
    <row r="17" ht="12.75" customHeight="1">
      <c r="A17" s="68">
        <v>0.0</v>
      </c>
      <c r="B17" s="65" t="s">
        <v>86</v>
      </c>
      <c r="C17" s="65"/>
      <c r="D17" s="69">
        <f t="shared" si="42"/>
        <v>500</v>
      </c>
      <c r="E17" s="70">
        <f t="shared" si="3"/>
        <v>0</v>
      </c>
      <c r="G17" s="68">
        <f t="shared" ref="G17:H17" si="80">A17</f>
        <v>0</v>
      </c>
      <c r="H17" s="65" t="str">
        <f t="shared" si="80"/>
        <v>hod</v>
      </c>
      <c r="I17" s="65"/>
      <c r="J17" s="69">
        <f t="shared" si="44"/>
        <v>400</v>
      </c>
      <c r="K17" s="70">
        <f t="shared" si="5"/>
        <v>0</v>
      </c>
      <c r="M17" s="68">
        <f t="shared" si="6"/>
        <v>0</v>
      </c>
      <c r="N17" s="65" t="str">
        <f t="shared" si="7"/>
        <v>hod</v>
      </c>
      <c r="O17" s="65"/>
      <c r="P17" s="69">
        <f t="shared" si="45"/>
        <v>700</v>
      </c>
      <c r="Q17" s="70">
        <f t="shared" si="8"/>
        <v>0</v>
      </c>
      <c r="S17" s="68">
        <f t="shared" si="9"/>
        <v>0</v>
      </c>
      <c r="T17" s="65" t="str">
        <f t="shared" si="10"/>
        <v>hod</v>
      </c>
      <c r="U17" s="65"/>
      <c r="V17" s="69">
        <f t="shared" si="46"/>
        <v>650</v>
      </c>
      <c r="W17" s="70">
        <f t="shared" si="11"/>
        <v>0</v>
      </c>
      <c r="Y17" s="68">
        <f t="shared" si="12"/>
        <v>0</v>
      </c>
      <c r="Z17" s="65" t="str">
        <f t="shared" si="13"/>
        <v>hod</v>
      </c>
      <c r="AA17" s="65"/>
      <c r="AB17" s="69">
        <f t="shared" si="47"/>
        <v>650</v>
      </c>
      <c r="AC17" s="70">
        <f t="shared" si="14"/>
        <v>0</v>
      </c>
      <c r="AE17" s="68">
        <f t="shared" si="15"/>
        <v>0</v>
      </c>
      <c r="AF17" s="65" t="str">
        <f t="shared" si="16"/>
        <v>hod</v>
      </c>
      <c r="AG17" s="65"/>
      <c r="AH17" s="69">
        <f t="shared" si="48"/>
        <v>700</v>
      </c>
      <c r="AI17" s="70">
        <f t="shared" si="17"/>
        <v>0</v>
      </c>
      <c r="AK17" s="68">
        <f t="shared" si="18"/>
        <v>0</v>
      </c>
      <c r="AL17" s="65" t="str">
        <f t="shared" si="19"/>
        <v>hod</v>
      </c>
      <c r="AM17" s="65"/>
      <c r="AN17" s="69">
        <f t="shared" si="49"/>
        <v>600</v>
      </c>
      <c r="AO17" s="70">
        <f t="shared" si="20"/>
        <v>0</v>
      </c>
      <c r="AQ17" s="68">
        <f t="shared" ref="AQ17:AR17" si="81">AK17</f>
        <v>0</v>
      </c>
      <c r="AR17" s="65" t="str">
        <f t="shared" si="81"/>
        <v>hod</v>
      </c>
      <c r="AS17" s="65"/>
      <c r="AT17" s="69">
        <f t="shared" si="51"/>
        <v>600</v>
      </c>
      <c r="AU17" s="70">
        <f t="shared" si="22"/>
        <v>0</v>
      </c>
      <c r="AW17" s="68">
        <f t="shared" si="23"/>
        <v>0</v>
      </c>
      <c r="AX17" s="65" t="str">
        <f t="shared" si="24"/>
        <v>hod</v>
      </c>
      <c r="AY17" s="65"/>
      <c r="AZ17" s="69">
        <f t="shared" si="52"/>
        <v>600</v>
      </c>
      <c r="BA17" s="70">
        <f t="shared" si="25"/>
        <v>0</v>
      </c>
      <c r="BC17" s="68">
        <f t="shared" si="26"/>
        <v>0</v>
      </c>
      <c r="BD17" s="65" t="str">
        <f t="shared" si="27"/>
        <v>hod</v>
      </c>
      <c r="BE17" s="65"/>
      <c r="BF17" s="69">
        <f t="shared" si="53"/>
        <v>600</v>
      </c>
      <c r="BG17" s="70">
        <f t="shared" si="28"/>
        <v>0</v>
      </c>
      <c r="BI17" s="68">
        <f t="shared" si="29"/>
        <v>0</v>
      </c>
      <c r="BJ17" s="65" t="str">
        <f t="shared" si="30"/>
        <v>hod</v>
      </c>
      <c r="BK17" s="65"/>
      <c r="BL17" s="69">
        <f t="shared" si="54"/>
        <v>800</v>
      </c>
      <c r="BM17" s="70">
        <f t="shared" si="31"/>
        <v>0</v>
      </c>
      <c r="BO17" s="68">
        <f t="shared" si="32"/>
        <v>0</v>
      </c>
      <c r="BP17" s="65" t="str">
        <f t="shared" si="33"/>
        <v>hod</v>
      </c>
      <c r="BQ17" s="65"/>
      <c r="BR17" s="69">
        <f t="shared" si="55"/>
        <v>650</v>
      </c>
      <c r="BS17" s="70">
        <f t="shared" si="34"/>
        <v>0</v>
      </c>
      <c r="BU17" s="68">
        <f t="shared" si="35"/>
        <v>0</v>
      </c>
      <c r="BV17" s="65" t="str">
        <f t="shared" si="36"/>
        <v>hod</v>
      </c>
      <c r="BW17" s="65"/>
      <c r="BX17" s="69">
        <f t="shared" si="56"/>
        <v>950</v>
      </c>
      <c r="BY17" s="70">
        <f t="shared" si="37"/>
        <v>0</v>
      </c>
      <c r="CA17" s="68">
        <f t="shared" si="38"/>
        <v>0</v>
      </c>
      <c r="CB17" s="65" t="str">
        <f t="shared" si="39"/>
        <v>hod</v>
      </c>
      <c r="CC17" s="65"/>
      <c r="CD17" s="69">
        <f t="shared" si="57"/>
        <v>600</v>
      </c>
      <c r="CE17" s="70">
        <f t="shared" si="40"/>
        <v>0</v>
      </c>
      <c r="CG17" s="68">
        <f t="shared" si="41"/>
        <v>0</v>
      </c>
      <c r="CH17" s="69">
        <f t="shared" si="58"/>
        <v>0</v>
      </c>
      <c r="CI17" s="85">
        <f t="shared" si="59"/>
        <v>0</v>
      </c>
    </row>
    <row r="18" ht="12.75" customHeight="1">
      <c r="A18" s="68">
        <v>0.0</v>
      </c>
      <c r="B18" s="65" t="s">
        <v>86</v>
      </c>
      <c r="C18" s="65"/>
      <c r="D18" s="69">
        <f t="shared" si="42"/>
        <v>500</v>
      </c>
      <c r="E18" s="70">
        <f t="shared" si="3"/>
        <v>0</v>
      </c>
      <c r="G18" s="68">
        <f t="shared" ref="G18:H18" si="82">A18</f>
        <v>0</v>
      </c>
      <c r="H18" s="65" t="str">
        <f t="shared" si="82"/>
        <v>hod</v>
      </c>
      <c r="I18" s="65"/>
      <c r="J18" s="69">
        <f t="shared" si="44"/>
        <v>400</v>
      </c>
      <c r="K18" s="70">
        <f t="shared" si="5"/>
        <v>0</v>
      </c>
      <c r="M18" s="68">
        <f t="shared" si="6"/>
        <v>0</v>
      </c>
      <c r="N18" s="65" t="str">
        <f t="shared" si="7"/>
        <v>hod</v>
      </c>
      <c r="O18" s="65"/>
      <c r="P18" s="69">
        <f t="shared" si="45"/>
        <v>700</v>
      </c>
      <c r="Q18" s="70">
        <f t="shared" si="8"/>
        <v>0</v>
      </c>
      <c r="S18" s="68">
        <f t="shared" si="9"/>
        <v>0</v>
      </c>
      <c r="T18" s="65" t="str">
        <f t="shared" si="10"/>
        <v>hod</v>
      </c>
      <c r="U18" s="65"/>
      <c r="V18" s="69">
        <f t="shared" si="46"/>
        <v>650</v>
      </c>
      <c r="W18" s="70">
        <f t="shared" si="11"/>
        <v>0</v>
      </c>
      <c r="Y18" s="68">
        <f t="shared" si="12"/>
        <v>0</v>
      </c>
      <c r="Z18" s="65" t="str">
        <f t="shared" si="13"/>
        <v>hod</v>
      </c>
      <c r="AA18" s="65"/>
      <c r="AB18" s="69">
        <f t="shared" si="47"/>
        <v>650</v>
      </c>
      <c r="AC18" s="70">
        <f t="shared" si="14"/>
        <v>0</v>
      </c>
      <c r="AE18" s="68">
        <f t="shared" si="15"/>
        <v>0</v>
      </c>
      <c r="AF18" s="65" t="str">
        <f t="shared" si="16"/>
        <v>hod</v>
      </c>
      <c r="AG18" s="65"/>
      <c r="AH18" s="69">
        <f t="shared" si="48"/>
        <v>700</v>
      </c>
      <c r="AI18" s="70">
        <f t="shared" si="17"/>
        <v>0</v>
      </c>
      <c r="AK18" s="68">
        <f t="shared" si="18"/>
        <v>0</v>
      </c>
      <c r="AL18" s="65" t="str">
        <f t="shared" si="19"/>
        <v>hod</v>
      </c>
      <c r="AM18" s="65"/>
      <c r="AN18" s="69">
        <f t="shared" si="49"/>
        <v>600</v>
      </c>
      <c r="AO18" s="70">
        <f t="shared" si="20"/>
        <v>0</v>
      </c>
      <c r="AQ18" s="68">
        <f t="shared" ref="AQ18:AR18" si="83">AK18</f>
        <v>0</v>
      </c>
      <c r="AR18" s="65" t="str">
        <f t="shared" si="83"/>
        <v>hod</v>
      </c>
      <c r="AS18" s="65"/>
      <c r="AT18" s="69">
        <f t="shared" si="51"/>
        <v>600</v>
      </c>
      <c r="AU18" s="70">
        <f t="shared" si="22"/>
        <v>0</v>
      </c>
      <c r="AW18" s="68">
        <f t="shared" si="23"/>
        <v>0</v>
      </c>
      <c r="AX18" s="65" t="str">
        <f t="shared" si="24"/>
        <v>hod</v>
      </c>
      <c r="AY18" s="65"/>
      <c r="AZ18" s="69">
        <f t="shared" si="52"/>
        <v>600</v>
      </c>
      <c r="BA18" s="70">
        <f t="shared" si="25"/>
        <v>0</v>
      </c>
      <c r="BC18" s="68">
        <f t="shared" si="26"/>
        <v>0</v>
      </c>
      <c r="BD18" s="65" t="str">
        <f t="shared" si="27"/>
        <v>hod</v>
      </c>
      <c r="BE18" s="65"/>
      <c r="BF18" s="69">
        <f t="shared" si="53"/>
        <v>600</v>
      </c>
      <c r="BG18" s="70">
        <f t="shared" si="28"/>
        <v>0</v>
      </c>
      <c r="BI18" s="68">
        <f t="shared" si="29"/>
        <v>0</v>
      </c>
      <c r="BJ18" s="65" t="str">
        <f t="shared" si="30"/>
        <v>hod</v>
      </c>
      <c r="BK18" s="65"/>
      <c r="BL18" s="69">
        <f t="shared" si="54"/>
        <v>800</v>
      </c>
      <c r="BM18" s="70">
        <f t="shared" si="31"/>
        <v>0</v>
      </c>
      <c r="BO18" s="68">
        <f t="shared" si="32"/>
        <v>0</v>
      </c>
      <c r="BP18" s="65" t="str">
        <f t="shared" si="33"/>
        <v>hod</v>
      </c>
      <c r="BQ18" s="65"/>
      <c r="BR18" s="69">
        <f t="shared" si="55"/>
        <v>650</v>
      </c>
      <c r="BS18" s="70">
        <f t="shared" si="34"/>
        <v>0</v>
      </c>
      <c r="BU18" s="68">
        <f t="shared" si="35"/>
        <v>0</v>
      </c>
      <c r="BV18" s="65" t="str">
        <f t="shared" si="36"/>
        <v>hod</v>
      </c>
      <c r="BW18" s="65"/>
      <c r="BX18" s="69">
        <f t="shared" si="56"/>
        <v>950</v>
      </c>
      <c r="BY18" s="70">
        <f t="shared" si="37"/>
        <v>0</v>
      </c>
      <c r="CA18" s="68">
        <f t="shared" si="38"/>
        <v>0</v>
      </c>
      <c r="CB18" s="65" t="str">
        <f t="shared" si="39"/>
        <v>hod</v>
      </c>
      <c r="CC18" s="65"/>
      <c r="CD18" s="69">
        <f t="shared" si="57"/>
        <v>600</v>
      </c>
      <c r="CE18" s="70">
        <f t="shared" si="40"/>
        <v>0</v>
      </c>
      <c r="CG18" s="68">
        <f t="shared" si="41"/>
        <v>0</v>
      </c>
      <c r="CH18" s="69">
        <f t="shared" si="58"/>
        <v>0</v>
      </c>
      <c r="CI18" s="85">
        <f t="shared" si="59"/>
        <v>0</v>
      </c>
    </row>
    <row r="19" ht="12.75" customHeight="1">
      <c r="A19" s="68">
        <v>0.0</v>
      </c>
      <c r="B19" s="65" t="s">
        <v>86</v>
      </c>
      <c r="C19" s="65"/>
      <c r="D19" s="69">
        <f t="shared" si="42"/>
        <v>500</v>
      </c>
      <c r="E19" s="70">
        <f t="shared" si="3"/>
        <v>0</v>
      </c>
      <c r="G19" s="68">
        <f t="shared" ref="G19:H19" si="84">A19</f>
        <v>0</v>
      </c>
      <c r="H19" s="65" t="str">
        <f t="shared" si="84"/>
        <v>hod</v>
      </c>
      <c r="I19" s="65"/>
      <c r="J19" s="69">
        <f t="shared" si="44"/>
        <v>400</v>
      </c>
      <c r="K19" s="70">
        <f t="shared" si="5"/>
        <v>0</v>
      </c>
      <c r="M19" s="68">
        <f t="shared" si="6"/>
        <v>0</v>
      </c>
      <c r="N19" s="65" t="str">
        <f t="shared" si="7"/>
        <v>hod</v>
      </c>
      <c r="O19" s="65"/>
      <c r="P19" s="69">
        <f t="shared" si="45"/>
        <v>700</v>
      </c>
      <c r="Q19" s="70">
        <f t="shared" si="8"/>
        <v>0</v>
      </c>
      <c r="S19" s="68">
        <f t="shared" si="9"/>
        <v>0</v>
      </c>
      <c r="T19" s="65" t="str">
        <f t="shared" si="10"/>
        <v>hod</v>
      </c>
      <c r="U19" s="65"/>
      <c r="V19" s="69">
        <f t="shared" si="46"/>
        <v>650</v>
      </c>
      <c r="W19" s="70">
        <f t="shared" si="11"/>
        <v>0</v>
      </c>
      <c r="Y19" s="68">
        <f t="shared" si="12"/>
        <v>0</v>
      </c>
      <c r="Z19" s="65" t="str">
        <f t="shared" si="13"/>
        <v>hod</v>
      </c>
      <c r="AA19" s="65"/>
      <c r="AB19" s="69">
        <f t="shared" si="47"/>
        <v>650</v>
      </c>
      <c r="AC19" s="70">
        <f t="shared" si="14"/>
        <v>0</v>
      </c>
      <c r="AE19" s="68">
        <f t="shared" si="15"/>
        <v>0</v>
      </c>
      <c r="AF19" s="65" t="str">
        <f t="shared" si="16"/>
        <v>hod</v>
      </c>
      <c r="AG19" s="65"/>
      <c r="AH19" s="69">
        <f t="shared" si="48"/>
        <v>700</v>
      </c>
      <c r="AI19" s="70">
        <f t="shared" si="17"/>
        <v>0</v>
      </c>
      <c r="AK19" s="68">
        <f t="shared" si="18"/>
        <v>0</v>
      </c>
      <c r="AL19" s="65" t="str">
        <f t="shared" si="19"/>
        <v>hod</v>
      </c>
      <c r="AM19" s="65"/>
      <c r="AN19" s="69">
        <f t="shared" si="49"/>
        <v>600</v>
      </c>
      <c r="AO19" s="70">
        <f t="shared" si="20"/>
        <v>0</v>
      </c>
      <c r="AQ19" s="68">
        <f t="shared" ref="AQ19:AR19" si="85">AK19</f>
        <v>0</v>
      </c>
      <c r="AR19" s="65" t="str">
        <f t="shared" si="85"/>
        <v>hod</v>
      </c>
      <c r="AS19" s="65"/>
      <c r="AT19" s="69">
        <f t="shared" si="51"/>
        <v>600</v>
      </c>
      <c r="AU19" s="70">
        <f t="shared" si="22"/>
        <v>0</v>
      </c>
      <c r="AW19" s="68">
        <f t="shared" si="23"/>
        <v>0</v>
      </c>
      <c r="AX19" s="65" t="str">
        <f t="shared" si="24"/>
        <v>hod</v>
      </c>
      <c r="AY19" s="65"/>
      <c r="AZ19" s="69">
        <f t="shared" si="52"/>
        <v>600</v>
      </c>
      <c r="BA19" s="70">
        <f t="shared" si="25"/>
        <v>0</v>
      </c>
      <c r="BC19" s="68">
        <f t="shared" si="26"/>
        <v>0</v>
      </c>
      <c r="BD19" s="65" t="str">
        <f t="shared" si="27"/>
        <v>hod</v>
      </c>
      <c r="BE19" s="65"/>
      <c r="BF19" s="69">
        <f t="shared" si="53"/>
        <v>600</v>
      </c>
      <c r="BG19" s="70">
        <f t="shared" si="28"/>
        <v>0</v>
      </c>
      <c r="BI19" s="68">
        <f t="shared" si="29"/>
        <v>0</v>
      </c>
      <c r="BJ19" s="65" t="str">
        <f t="shared" si="30"/>
        <v>hod</v>
      </c>
      <c r="BK19" s="65"/>
      <c r="BL19" s="69">
        <f t="shared" si="54"/>
        <v>800</v>
      </c>
      <c r="BM19" s="70">
        <f t="shared" si="31"/>
        <v>0</v>
      </c>
      <c r="BO19" s="68">
        <f t="shared" si="32"/>
        <v>0</v>
      </c>
      <c r="BP19" s="65" t="str">
        <f t="shared" si="33"/>
        <v>hod</v>
      </c>
      <c r="BQ19" s="65"/>
      <c r="BR19" s="69">
        <f t="shared" si="55"/>
        <v>650</v>
      </c>
      <c r="BS19" s="70">
        <f t="shared" si="34"/>
        <v>0</v>
      </c>
      <c r="BU19" s="68">
        <f t="shared" si="35"/>
        <v>0</v>
      </c>
      <c r="BV19" s="65" t="str">
        <f t="shared" si="36"/>
        <v>hod</v>
      </c>
      <c r="BW19" s="65"/>
      <c r="BX19" s="69">
        <f t="shared" si="56"/>
        <v>950</v>
      </c>
      <c r="BY19" s="70">
        <f t="shared" si="37"/>
        <v>0</v>
      </c>
      <c r="CA19" s="68">
        <f t="shared" si="38"/>
        <v>0</v>
      </c>
      <c r="CB19" s="65" t="str">
        <f t="shared" si="39"/>
        <v>hod</v>
      </c>
      <c r="CC19" s="65"/>
      <c r="CD19" s="69">
        <f t="shared" si="57"/>
        <v>600</v>
      </c>
      <c r="CE19" s="70">
        <f t="shared" si="40"/>
        <v>0</v>
      </c>
      <c r="CG19" s="68">
        <f t="shared" si="41"/>
        <v>0</v>
      </c>
      <c r="CH19" s="69">
        <f t="shared" si="58"/>
        <v>0</v>
      </c>
      <c r="CI19" s="85">
        <f t="shared" si="59"/>
        <v>0</v>
      </c>
    </row>
    <row r="20" ht="12.75" customHeight="1">
      <c r="A20" s="68">
        <v>0.0</v>
      </c>
      <c r="B20" s="65" t="s">
        <v>86</v>
      </c>
      <c r="C20" s="65"/>
      <c r="D20" s="69">
        <f t="shared" si="42"/>
        <v>500</v>
      </c>
      <c r="E20" s="70">
        <f t="shared" si="3"/>
        <v>0</v>
      </c>
      <c r="G20" s="68">
        <f t="shared" ref="G20:H20" si="86">A20</f>
        <v>0</v>
      </c>
      <c r="H20" s="65" t="str">
        <f t="shared" si="86"/>
        <v>hod</v>
      </c>
      <c r="I20" s="65"/>
      <c r="J20" s="69">
        <f t="shared" si="44"/>
        <v>400</v>
      </c>
      <c r="K20" s="70">
        <f t="shared" si="5"/>
        <v>0</v>
      </c>
      <c r="M20" s="68">
        <f t="shared" si="6"/>
        <v>0</v>
      </c>
      <c r="N20" s="65" t="str">
        <f t="shared" si="7"/>
        <v>hod</v>
      </c>
      <c r="O20" s="65"/>
      <c r="P20" s="69">
        <f t="shared" si="45"/>
        <v>700</v>
      </c>
      <c r="Q20" s="70">
        <f t="shared" si="8"/>
        <v>0</v>
      </c>
      <c r="S20" s="68">
        <f t="shared" si="9"/>
        <v>0</v>
      </c>
      <c r="T20" s="65" t="str">
        <f t="shared" si="10"/>
        <v>hod</v>
      </c>
      <c r="U20" s="65"/>
      <c r="V20" s="69">
        <f t="shared" si="46"/>
        <v>650</v>
      </c>
      <c r="W20" s="70">
        <f t="shared" si="11"/>
        <v>0</v>
      </c>
      <c r="Y20" s="68">
        <f t="shared" si="12"/>
        <v>0</v>
      </c>
      <c r="Z20" s="65" t="str">
        <f t="shared" si="13"/>
        <v>hod</v>
      </c>
      <c r="AA20" s="65"/>
      <c r="AB20" s="69">
        <f t="shared" si="47"/>
        <v>650</v>
      </c>
      <c r="AC20" s="70">
        <f t="shared" si="14"/>
        <v>0</v>
      </c>
      <c r="AE20" s="68">
        <f t="shared" si="15"/>
        <v>0</v>
      </c>
      <c r="AF20" s="65" t="str">
        <f t="shared" si="16"/>
        <v>hod</v>
      </c>
      <c r="AG20" s="65"/>
      <c r="AH20" s="69">
        <f t="shared" si="48"/>
        <v>700</v>
      </c>
      <c r="AI20" s="70">
        <f t="shared" si="17"/>
        <v>0</v>
      </c>
      <c r="AK20" s="68">
        <f t="shared" si="18"/>
        <v>0</v>
      </c>
      <c r="AL20" s="65" t="str">
        <f t="shared" si="19"/>
        <v>hod</v>
      </c>
      <c r="AM20" s="65"/>
      <c r="AN20" s="69">
        <f t="shared" si="49"/>
        <v>600</v>
      </c>
      <c r="AO20" s="70">
        <f t="shared" si="20"/>
        <v>0</v>
      </c>
      <c r="AQ20" s="68">
        <f t="shared" ref="AQ20:AR20" si="87">AK20</f>
        <v>0</v>
      </c>
      <c r="AR20" s="65" t="str">
        <f t="shared" si="87"/>
        <v>hod</v>
      </c>
      <c r="AS20" s="65"/>
      <c r="AT20" s="69">
        <f t="shared" si="51"/>
        <v>600</v>
      </c>
      <c r="AU20" s="70">
        <f t="shared" si="22"/>
        <v>0</v>
      </c>
      <c r="AW20" s="68">
        <f t="shared" si="23"/>
        <v>0</v>
      </c>
      <c r="AX20" s="65" t="str">
        <f t="shared" si="24"/>
        <v>hod</v>
      </c>
      <c r="AY20" s="65"/>
      <c r="AZ20" s="69">
        <f t="shared" si="52"/>
        <v>600</v>
      </c>
      <c r="BA20" s="70">
        <f t="shared" si="25"/>
        <v>0</v>
      </c>
      <c r="BC20" s="68">
        <f t="shared" si="26"/>
        <v>0</v>
      </c>
      <c r="BD20" s="65" t="str">
        <f t="shared" si="27"/>
        <v>hod</v>
      </c>
      <c r="BE20" s="65"/>
      <c r="BF20" s="69">
        <f t="shared" si="53"/>
        <v>600</v>
      </c>
      <c r="BG20" s="70">
        <f t="shared" si="28"/>
        <v>0</v>
      </c>
      <c r="BI20" s="68">
        <f t="shared" si="29"/>
        <v>0</v>
      </c>
      <c r="BJ20" s="65" t="str">
        <f t="shared" si="30"/>
        <v>hod</v>
      </c>
      <c r="BK20" s="65"/>
      <c r="BL20" s="69">
        <f t="shared" si="54"/>
        <v>800</v>
      </c>
      <c r="BM20" s="70">
        <f t="shared" si="31"/>
        <v>0</v>
      </c>
      <c r="BO20" s="68">
        <f t="shared" si="32"/>
        <v>0</v>
      </c>
      <c r="BP20" s="65" t="str">
        <f t="shared" si="33"/>
        <v>hod</v>
      </c>
      <c r="BQ20" s="65"/>
      <c r="BR20" s="69">
        <f t="shared" si="55"/>
        <v>650</v>
      </c>
      <c r="BS20" s="70">
        <f t="shared" si="34"/>
        <v>0</v>
      </c>
      <c r="BU20" s="68">
        <f t="shared" si="35"/>
        <v>0</v>
      </c>
      <c r="BV20" s="65" t="str">
        <f t="shared" si="36"/>
        <v>hod</v>
      </c>
      <c r="BW20" s="65"/>
      <c r="BX20" s="69">
        <f t="shared" si="56"/>
        <v>950</v>
      </c>
      <c r="BY20" s="70">
        <f t="shared" si="37"/>
        <v>0</v>
      </c>
      <c r="CA20" s="68">
        <f t="shared" si="38"/>
        <v>0</v>
      </c>
      <c r="CB20" s="65" t="str">
        <f t="shared" si="39"/>
        <v>hod</v>
      </c>
      <c r="CC20" s="65"/>
      <c r="CD20" s="69">
        <f t="shared" si="57"/>
        <v>600</v>
      </c>
      <c r="CE20" s="70">
        <f t="shared" si="40"/>
        <v>0</v>
      </c>
      <c r="CG20" s="68">
        <f t="shared" si="41"/>
        <v>0</v>
      </c>
      <c r="CH20" s="69">
        <f t="shared" si="58"/>
        <v>0</v>
      </c>
      <c r="CI20" s="85">
        <f t="shared" si="59"/>
        <v>0</v>
      </c>
    </row>
    <row r="21" ht="12.75" customHeight="1">
      <c r="A21" s="68">
        <v>0.0</v>
      </c>
      <c r="B21" s="65" t="s">
        <v>86</v>
      </c>
      <c r="C21" s="65"/>
      <c r="D21" s="69">
        <f t="shared" si="42"/>
        <v>500</v>
      </c>
      <c r="E21" s="70">
        <f t="shared" si="3"/>
        <v>0</v>
      </c>
      <c r="G21" s="68">
        <f t="shared" ref="G21:H21" si="88">A21</f>
        <v>0</v>
      </c>
      <c r="H21" s="65" t="str">
        <f t="shared" si="88"/>
        <v>hod</v>
      </c>
      <c r="I21" s="65"/>
      <c r="J21" s="69">
        <f t="shared" si="44"/>
        <v>400</v>
      </c>
      <c r="K21" s="70">
        <f t="shared" si="5"/>
        <v>0</v>
      </c>
      <c r="M21" s="68">
        <f t="shared" si="6"/>
        <v>0</v>
      </c>
      <c r="N21" s="65" t="str">
        <f t="shared" si="7"/>
        <v>hod</v>
      </c>
      <c r="O21" s="65"/>
      <c r="P21" s="69">
        <f t="shared" si="45"/>
        <v>700</v>
      </c>
      <c r="Q21" s="70">
        <f t="shared" si="8"/>
        <v>0</v>
      </c>
      <c r="S21" s="68">
        <f t="shared" si="9"/>
        <v>0</v>
      </c>
      <c r="T21" s="65" t="str">
        <f t="shared" si="10"/>
        <v>hod</v>
      </c>
      <c r="U21" s="65"/>
      <c r="V21" s="69">
        <f t="shared" si="46"/>
        <v>650</v>
      </c>
      <c r="W21" s="70">
        <f t="shared" si="11"/>
        <v>0</v>
      </c>
      <c r="Y21" s="68">
        <f t="shared" si="12"/>
        <v>0</v>
      </c>
      <c r="Z21" s="65" t="str">
        <f t="shared" si="13"/>
        <v>hod</v>
      </c>
      <c r="AA21" s="65"/>
      <c r="AB21" s="69">
        <f t="shared" si="47"/>
        <v>650</v>
      </c>
      <c r="AC21" s="70">
        <f t="shared" si="14"/>
        <v>0</v>
      </c>
      <c r="AE21" s="68">
        <f t="shared" si="15"/>
        <v>0</v>
      </c>
      <c r="AF21" s="65" t="str">
        <f t="shared" si="16"/>
        <v>hod</v>
      </c>
      <c r="AG21" s="65"/>
      <c r="AH21" s="69">
        <f t="shared" si="48"/>
        <v>700</v>
      </c>
      <c r="AI21" s="70">
        <f t="shared" si="17"/>
        <v>0</v>
      </c>
      <c r="AK21" s="68">
        <f t="shared" si="18"/>
        <v>0</v>
      </c>
      <c r="AL21" s="65" t="str">
        <f t="shared" si="19"/>
        <v>hod</v>
      </c>
      <c r="AM21" s="65"/>
      <c r="AN21" s="69">
        <f t="shared" si="49"/>
        <v>600</v>
      </c>
      <c r="AO21" s="70">
        <f t="shared" si="20"/>
        <v>0</v>
      </c>
      <c r="AQ21" s="68">
        <f t="shared" ref="AQ21:AR21" si="89">AK21</f>
        <v>0</v>
      </c>
      <c r="AR21" s="65" t="str">
        <f t="shared" si="89"/>
        <v>hod</v>
      </c>
      <c r="AS21" s="65"/>
      <c r="AT21" s="69">
        <f t="shared" si="51"/>
        <v>600</v>
      </c>
      <c r="AU21" s="70">
        <f t="shared" si="22"/>
        <v>0</v>
      </c>
      <c r="AW21" s="68">
        <f t="shared" si="23"/>
        <v>0</v>
      </c>
      <c r="AX21" s="65" t="str">
        <f t="shared" si="24"/>
        <v>hod</v>
      </c>
      <c r="AY21" s="65"/>
      <c r="AZ21" s="69">
        <f t="shared" si="52"/>
        <v>600</v>
      </c>
      <c r="BA21" s="70">
        <f t="shared" si="25"/>
        <v>0</v>
      </c>
      <c r="BC21" s="68">
        <f t="shared" si="26"/>
        <v>0</v>
      </c>
      <c r="BD21" s="65" t="str">
        <f t="shared" si="27"/>
        <v>hod</v>
      </c>
      <c r="BE21" s="65"/>
      <c r="BF21" s="69">
        <f t="shared" si="53"/>
        <v>600</v>
      </c>
      <c r="BG21" s="70">
        <f t="shared" si="28"/>
        <v>0</v>
      </c>
      <c r="BI21" s="68">
        <f t="shared" si="29"/>
        <v>0</v>
      </c>
      <c r="BJ21" s="65" t="str">
        <f t="shared" si="30"/>
        <v>hod</v>
      </c>
      <c r="BK21" s="65"/>
      <c r="BL21" s="69">
        <f t="shared" si="54"/>
        <v>800</v>
      </c>
      <c r="BM21" s="70">
        <f t="shared" si="31"/>
        <v>0</v>
      </c>
      <c r="BO21" s="68">
        <f t="shared" si="32"/>
        <v>0</v>
      </c>
      <c r="BP21" s="65" t="str">
        <f t="shared" si="33"/>
        <v>hod</v>
      </c>
      <c r="BQ21" s="65"/>
      <c r="BR21" s="69">
        <f t="shared" si="55"/>
        <v>650</v>
      </c>
      <c r="BS21" s="70">
        <f t="shared" si="34"/>
        <v>0</v>
      </c>
      <c r="BU21" s="68">
        <f t="shared" si="35"/>
        <v>0</v>
      </c>
      <c r="BV21" s="65" t="str">
        <f t="shared" si="36"/>
        <v>hod</v>
      </c>
      <c r="BW21" s="65"/>
      <c r="BX21" s="69">
        <f t="shared" si="56"/>
        <v>950</v>
      </c>
      <c r="BY21" s="70">
        <f t="shared" si="37"/>
        <v>0</v>
      </c>
      <c r="CA21" s="68">
        <f t="shared" si="38"/>
        <v>0</v>
      </c>
      <c r="CB21" s="65" t="str">
        <f t="shared" si="39"/>
        <v>hod</v>
      </c>
      <c r="CC21" s="65"/>
      <c r="CD21" s="69">
        <f t="shared" si="57"/>
        <v>600</v>
      </c>
      <c r="CE21" s="70">
        <f t="shared" si="40"/>
        <v>0</v>
      </c>
      <c r="CG21" s="68">
        <f t="shared" si="41"/>
        <v>0</v>
      </c>
      <c r="CH21" s="69">
        <f t="shared" si="58"/>
        <v>0</v>
      </c>
      <c r="CI21" s="85">
        <f t="shared" si="59"/>
        <v>0</v>
      </c>
    </row>
    <row r="22" ht="12.75" customHeight="1">
      <c r="A22" s="68">
        <v>0.0</v>
      </c>
      <c r="B22" s="65" t="s">
        <v>86</v>
      </c>
      <c r="C22" s="65"/>
      <c r="D22" s="69">
        <f t="shared" si="42"/>
        <v>500</v>
      </c>
      <c r="E22" s="70">
        <f t="shared" si="3"/>
        <v>0</v>
      </c>
      <c r="G22" s="68">
        <f t="shared" ref="G22:H22" si="90">A22</f>
        <v>0</v>
      </c>
      <c r="H22" s="65" t="str">
        <f t="shared" si="90"/>
        <v>hod</v>
      </c>
      <c r="I22" s="65"/>
      <c r="J22" s="69">
        <f t="shared" si="44"/>
        <v>400</v>
      </c>
      <c r="K22" s="70">
        <f t="shared" si="5"/>
        <v>0</v>
      </c>
      <c r="M22" s="68">
        <f t="shared" si="6"/>
        <v>0</v>
      </c>
      <c r="N22" s="65" t="str">
        <f t="shared" si="7"/>
        <v>hod</v>
      </c>
      <c r="O22" s="65"/>
      <c r="P22" s="69">
        <f t="shared" si="45"/>
        <v>700</v>
      </c>
      <c r="Q22" s="70">
        <f t="shared" si="8"/>
        <v>0</v>
      </c>
      <c r="S22" s="68">
        <f t="shared" si="9"/>
        <v>0</v>
      </c>
      <c r="T22" s="65" t="str">
        <f t="shared" si="10"/>
        <v>hod</v>
      </c>
      <c r="U22" s="65"/>
      <c r="V22" s="69">
        <f t="shared" si="46"/>
        <v>650</v>
      </c>
      <c r="W22" s="70">
        <f t="shared" si="11"/>
        <v>0</v>
      </c>
      <c r="Y22" s="68">
        <f t="shared" si="12"/>
        <v>0</v>
      </c>
      <c r="Z22" s="65" t="str">
        <f t="shared" si="13"/>
        <v>hod</v>
      </c>
      <c r="AA22" s="65"/>
      <c r="AB22" s="69">
        <f t="shared" si="47"/>
        <v>650</v>
      </c>
      <c r="AC22" s="70">
        <f t="shared" si="14"/>
        <v>0</v>
      </c>
      <c r="AE22" s="68">
        <f t="shared" si="15"/>
        <v>0</v>
      </c>
      <c r="AF22" s="65" t="str">
        <f t="shared" si="16"/>
        <v>hod</v>
      </c>
      <c r="AG22" s="65"/>
      <c r="AH22" s="69">
        <f t="shared" si="48"/>
        <v>700</v>
      </c>
      <c r="AI22" s="70">
        <f t="shared" si="17"/>
        <v>0</v>
      </c>
      <c r="AK22" s="68">
        <f t="shared" si="18"/>
        <v>0</v>
      </c>
      <c r="AL22" s="65" t="str">
        <f t="shared" si="19"/>
        <v>hod</v>
      </c>
      <c r="AM22" s="65"/>
      <c r="AN22" s="69">
        <f t="shared" si="49"/>
        <v>600</v>
      </c>
      <c r="AO22" s="70">
        <f t="shared" si="20"/>
        <v>0</v>
      </c>
      <c r="AQ22" s="68">
        <f t="shared" ref="AQ22:AR22" si="91">AK22</f>
        <v>0</v>
      </c>
      <c r="AR22" s="65" t="str">
        <f t="shared" si="91"/>
        <v>hod</v>
      </c>
      <c r="AS22" s="65"/>
      <c r="AT22" s="69">
        <f t="shared" si="51"/>
        <v>600</v>
      </c>
      <c r="AU22" s="70">
        <f t="shared" si="22"/>
        <v>0</v>
      </c>
      <c r="AW22" s="68">
        <f t="shared" si="23"/>
        <v>0</v>
      </c>
      <c r="AX22" s="65" t="str">
        <f t="shared" si="24"/>
        <v>hod</v>
      </c>
      <c r="AY22" s="65"/>
      <c r="AZ22" s="69">
        <f t="shared" si="52"/>
        <v>600</v>
      </c>
      <c r="BA22" s="70">
        <f t="shared" si="25"/>
        <v>0</v>
      </c>
      <c r="BC22" s="68">
        <f t="shared" si="26"/>
        <v>0</v>
      </c>
      <c r="BD22" s="65" t="str">
        <f t="shared" si="27"/>
        <v>hod</v>
      </c>
      <c r="BE22" s="65"/>
      <c r="BF22" s="69">
        <f t="shared" si="53"/>
        <v>600</v>
      </c>
      <c r="BG22" s="70">
        <f t="shared" si="28"/>
        <v>0</v>
      </c>
      <c r="BI22" s="68">
        <f t="shared" si="29"/>
        <v>0</v>
      </c>
      <c r="BJ22" s="65" t="str">
        <f t="shared" si="30"/>
        <v>hod</v>
      </c>
      <c r="BK22" s="65"/>
      <c r="BL22" s="69">
        <f t="shared" si="54"/>
        <v>800</v>
      </c>
      <c r="BM22" s="70">
        <f t="shared" si="31"/>
        <v>0</v>
      </c>
      <c r="BO22" s="68">
        <f t="shared" si="32"/>
        <v>0</v>
      </c>
      <c r="BP22" s="65" t="str">
        <f t="shared" si="33"/>
        <v>hod</v>
      </c>
      <c r="BQ22" s="65"/>
      <c r="BR22" s="69">
        <f t="shared" si="55"/>
        <v>650</v>
      </c>
      <c r="BS22" s="70">
        <f t="shared" si="34"/>
        <v>0</v>
      </c>
      <c r="BU22" s="68">
        <f t="shared" si="35"/>
        <v>0</v>
      </c>
      <c r="BV22" s="65" t="str">
        <f t="shared" si="36"/>
        <v>hod</v>
      </c>
      <c r="BW22" s="65"/>
      <c r="BX22" s="69">
        <f t="shared" si="56"/>
        <v>950</v>
      </c>
      <c r="BY22" s="70">
        <f t="shared" si="37"/>
        <v>0</v>
      </c>
      <c r="CA22" s="68">
        <f t="shared" si="38"/>
        <v>0</v>
      </c>
      <c r="CB22" s="65" t="str">
        <f t="shared" si="39"/>
        <v>hod</v>
      </c>
      <c r="CC22" s="65"/>
      <c r="CD22" s="69">
        <f t="shared" si="57"/>
        <v>600</v>
      </c>
      <c r="CE22" s="70">
        <f t="shared" si="40"/>
        <v>0</v>
      </c>
      <c r="CG22" s="68">
        <f t="shared" si="41"/>
        <v>0</v>
      </c>
      <c r="CH22" s="69">
        <f t="shared" si="58"/>
        <v>0</v>
      </c>
      <c r="CI22" s="85">
        <f t="shared" si="59"/>
        <v>0</v>
      </c>
    </row>
    <row r="23" ht="12.75" customHeight="1">
      <c r="A23" s="68">
        <v>0.0</v>
      </c>
      <c r="B23" s="65" t="s">
        <v>86</v>
      </c>
      <c r="C23" s="65"/>
      <c r="D23" s="69">
        <f t="shared" si="42"/>
        <v>500</v>
      </c>
      <c r="E23" s="70">
        <f t="shared" si="3"/>
        <v>0</v>
      </c>
      <c r="G23" s="68">
        <f t="shared" ref="G23:H23" si="92">A23</f>
        <v>0</v>
      </c>
      <c r="H23" s="65" t="str">
        <f t="shared" si="92"/>
        <v>hod</v>
      </c>
      <c r="I23" s="65"/>
      <c r="J23" s="69">
        <f t="shared" si="44"/>
        <v>400</v>
      </c>
      <c r="K23" s="70">
        <f t="shared" si="5"/>
        <v>0</v>
      </c>
      <c r="M23" s="68">
        <f t="shared" si="6"/>
        <v>0</v>
      </c>
      <c r="N23" s="65" t="str">
        <f t="shared" si="7"/>
        <v>hod</v>
      </c>
      <c r="O23" s="65"/>
      <c r="P23" s="69">
        <f t="shared" si="45"/>
        <v>700</v>
      </c>
      <c r="Q23" s="70">
        <f t="shared" si="8"/>
        <v>0</v>
      </c>
      <c r="S23" s="68">
        <f t="shared" si="9"/>
        <v>0</v>
      </c>
      <c r="T23" s="65" t="str">
        <f t="shared" si="10"/>
        <v>hod</v>
      </c>
      <c r="U23" s="65"/>
      <c r="V23" s="69">
        <f t="shared" si="46"/>
        <v>650</v>
      </c>
      <c r="W23" s="70">
        <f t="shared" si="11"/>
        <v>0</v>
      </c>
      <c r="Y23" s="68">
        <f t="shared" si="12"/>
        <v>0</v>
      </c>
      <c r="Z23" s="65" t="str">
        <f t="shared" si="13"/>
        <v>hod</v>
      </c>
      <c r="AA23" s="65"/>
      <c r="AB23" s="69">
        <f t="shared" si="47"/>
        <v>650</v>
      </c>
      <c r="AC23" s="70">
        <f t="shared" si="14"/>
        <v>0</v>
      </c>
      <c r="AE23" s="68">
        <f t="shared" si="15"/>
        <v>0</v>
      </c>
      <c r="AF23" s="65" t="str">
        <f t="shared" si="16"/>
        <v>hod</v>
      </c>
      <c r="AG23" s="65"/>
      <c r="AH23" s="69">
        <f t="shared" si="48"/>
        <v>700</v>
      </c>
      <c r="AI23" s="70">
        <f t="shared" si="17"/>
        <v>0</v>
      </c>
      <c r="AK23" s="68">
        <f t="shared" si="18"/>
        <v>0</v>
      </c>
      <c r="AL23" s="65" t="str">
        <f t="shared" si="19"/>
        <v>hod</v>
      </c>
      <c r="AM23" s="65"/>
      <c r="AN23" s="69">
        <f t="shared" si="49"/>
        <v>600</v>
      </c>
      <c r="AO23" s="70">
        <f t="shared" si="20"/>
        <v>0</v>
      </c>
      <c r="AQ23" s="68">
        <f t="shared" ref="AQ23:AR23" si="93">AK23</f>
        <v>0</v>
      </c>
      <c r="AR23" s="65" t="str">
        <f t="shared" si="93"/>
        <v>hod</v>
      </c>
      <c r="AS23" s="65"/>
      <c r="AT23" s="69">
        <f t="shared" si="51"/>
        <v>600</v>
      </c>
      <c r="AU23" s="70">
        <f t="shared" si="22"/>
        <v>0</v>
      </c>
      <c r="AW23" s="68">
        <f t="shared" si="23"/>
        <v>0</v>
      </c>
      <c r="AX23" s="65" t="str">
        <f t="shared" si="24"/>
        <v>hod</v>
      </c>
      <c r="AY23" s="65"/>
      <c r="AZ23" s="69">
        <f t="shared" si="52"/>
        <v>600</v>
      </c>
      <c r="BA23" s="70">
        <f t="shared" si="25"/>
        <v>0</v>
      </c>
      <c r="BC23" s="68">
        <f t="shared" si="26"/>
        <v>0</v>
      </c>
      <c r="BD23" s="65" t="str">
        <f t="shared" si="27"/>
        <v>hod</v>
      </c>
      <c r="BE23" s="65"/>
      <c r="BF23" s="69">
        <f t="shared" si="53"/>
        <v>600</v>
      </c>
      <c r="BG23" s="70">
        <f t="shared" si="28"/>
        <v>0</v>
      </c>
      <c r="BI23" s="68">
        <f t="shared" si="29"/>
        <v>0</v>
      </c>
      <c r="BJ23" s="65" t="str">
        <f t="shared" si="30"/>
        <v>hod</v>
      </c>
      <c r="BK23" s="65"/>
      <c r="BL23" s="69">
        <f t="shared" si="54"/>
        <v>800</v>
      </c>
      <c r="BM23" s="70">
        <f t="shared" si="31"/>
        <v>0</v>
      </c>
      <c r="BO23" s="68">
        <f t="shared" si="32"/>
        <v>0</v>
      </c>
      <c r="BP23" s="65" t="str">
        <f t="shared" si="33"/>
        <v>hod</v>
      </c>
      <c r="BQ23" s="65"/>
      <c r="BR23" s="69">
        <f t="shared" si="55"/>
        <v>650</v>
      </c>
      <c r="BS23" s="70">
        <f t="shared" si="34"/>
        <v>0</v>
      </c>
      <c r="BU23" s="68">
        <f t="shared" si="35"/>
        <v>0</v>
      </c>
      <c r="BV23" s="65" t="str">
        <f t="shared" si="36"/>
        <v>hod</v>
      </c>
      <c r="BW23" s="65"/>
      <c r="BX23" s="69">
        <f t="shared" si="56"/>
        <v>950</v>
      </c>
      <c r="BY23" s="70">
        <f t="shared" si="37"/>
        <v>0</v>
      </c>
      <c r="CA23" s="68">
        <f t="shared" si="38"/>
        <v>0</v>
      </c>
      <c r="CB23" s="65" t="str">
        <f t="shared" si="39"/>
        <v>hod</v>
      </c>
      <c r="CC23" s="65"/>
      <c r="CD23" s="69">
        <f t="shared" si="57"/>
        <v>600</v>
      </c>
      <c r="CE23" s="70">
        <f t="shared" si="40"/>
        <v>0</v>
      </c>
      <c r="CG23" s="68">
        <f t="shared" si="41"/>
        <v>0</v>
      </c>
      <c r="CH23" s="69">
        <f t="shared" si="58"/>
        <v>0</v>
      </c>
      <c r="CI23" s="85">
        <f t="shared" si="59"/>
        <v>0</v>
      </c>
    </row>
    <row r="24" ht="12.75" customHeight="1">
      <c r="A24" s="68">
        <v>0.0</v>
      </c>
      <c r="B24" s="65" t="s">
        <v>86</v>
      </c>
      <c r="C24" s="65"/>
      <c r="D24" s="69">
        <f t="shared" si="42"/>
        <v>500</v>
      </c>
      <c r="E24" s="70">
        <f t="shared" si="3"/>
        <v>0</v>
      </c>
      <c r="G24" s="68">
        <f t="shared" ref="G24:H24" si="94">A24</f>
        <v>0</v>
      </c>
      <c r="H24" s="65" t="str">
        <f t="shared" si="94"/>
        <v>hod</v>
      </c>
      <c r="I24" s="65"/>
      <c r="J24" s="69">
        <f t="shared" si="44"/>
        <v>400</v>
      </c>
      <c r="K24" s="70">
        <f t="shared" si="5"/>
        <v>0</v>
      </c>
      <c r="M24" s="68">
        <f t="shared" si="6"/>
        <v>0</v>
      </c>
      <c r="N24" s="65" t="str">
        <f t="shared" si="7"/>
        <v>hod</v>
      </c>
      <c r="O24" s="65"/>
      <c r="P24" s="69">
        <f t="shared" si="45"/>
        <v>700</v>
      </c>
      <c r="Q24" s="70">
        <f t="shared" si="8"/>
        <v>0</v>
      </c>
      <c r="S24" s="68">
        <f t="shared" si="9"/>
        <v>0</v>
      </c>
      <c r="T24" s="65" t="str">
        <f t="shared" si="10"/>
        <v>hod</v>
      </c>
      <c r="U24" s="65"/>
      <c r="V24" s="69">
        <f t="shared" si="46"/>
        <v>650</v>
      </c>
      <c r="W24" s="70">
        <f t="shared" si="11"/>
        <v>0</v>
      </c>
      <c r="Y24" s="68">
        <f t="shared" si="12"/>
        <v>0</v>
      </c>
      <c r="Z24" s="65" t="str">
        <f t="shared" si="13"/>
        <v>hod</v>
      </c>
      <c r="AA24" s="65"/>
      <c r="AB24" s="69">
        <f t="shared" si="47"/>
        <v>650</v>
      </c>
      <c r="AC24" s="70">
        <f t="shared" si="14"/>
        <v>0</v>
      </c>
      <c r="AE24" s="68">
        <f t="shared" si="15"/>
        <v>0</v>
      </c>
      <c r="AF24" s="65" t="str">
        <f t="shared" si="16"/>
        <v>hod</v>
      </c>
      <c r="AG24" s="65"/>
      <c r="AH24" s="69">
        <f t="shared" si="48"/>
        <v>700</v>
      </c>
      <c r="AI24" s="70">
        <f t="shared" si="17"/>
        <v>0</v>
      </c>
      <c r="AK24" s="68">
        <f t="shared" si="18"/>
        <v>0</v>
      </c>
      <c r="AL24" s="65" t="str">
        <f t="shared" si="19"/>
        <v>hod</v>
      </c>
      <c r="AM24" s="65"/>
      <c r="AN24" s="69">
        <f t="shared" si="49"/>
        <v>600</v>
      </c>
      <c r="AO24" s="70">
        <f t="shared" si="20"/>
        <v>0</v>
      </c>
      <c r="AQ24" s="68">
        <f t="shared" ref="AQ24:AR24" si="95">AK24</f>
        <v>0</v>
      </c>
      <c r="AR24" s="65" t="str">
        <f t="shared" si="95"/>
        <v>hod</v>
      </c>
      <c r="AS24" s="65"/>
      <c r="AT24" s="69">
        <f t="shared" si="51"/>
        <v>600</v>
      </c>
      <c r="AU24" s="70">
        <f t="shared" si="22"/>
        <v>0</v>
      </c>
      <c r="AW24" s="68">
        <f t="shared" si="23"/>
        <v>0</v>
      </c>
      <c r="AX24" s="65" t="str">
        <f t="shared" si="24"/>
        <v>hod</v>
      </c>
      <c r="AY24" s="65"/>
      <c r="AZ24" s="69">
        <f t="shared" si="52"/>
        <v>600</v>
      </c>
      <c r="BA24" s="70">
        <f t="shared" si="25"/>
        <v>0</v>
      </c>
      <c r="BC24" s="68">
        <f t="shared" si="26"/>
        <v>0</v>
      </c>
      <c r="BD24" s="65" t="str">
        <f t="shared" si="27"/>
        <v>hod</v>
      </c>
      <c r="BE24" s="65"/>
      <c r="BF24" s="69">
        <f t="shared" si="53"/>
        <v>600</v>
      </c>
      <c r="BG24" s="70">
        <f t="shared" si="28"/>
        <v>0</v>
      </c>
      <c r="BI24" s="68">
        <f t="shared" si="29"/>
        <v>0</v>
      </c>
      <c r="BJ24" s="65" t="str">
        <f t="shared" si="30"/>
        <v>hod</v>
      </c>
      <c r="BK24" s="65"/>
      <c r="BL24" s="69">
        <f t="shared" si="54"/>
        <v>800</v>
      </c>
      <c r="BM24" s="70">
        <f t="shared" si="31"/>
        <v>0</v>
      </c>
      <c r="BO24" s="68">
        <f t="shared" si="32"/>
        <v>0</v>
      </c>
      <c r="BP24" s="65" t="str">
        <f t="shared" si="33"/>
        <v>hod</v>
      </c>
      <c r="BQ24" s="65"/>
      <c r="BR24" s="69">
        <f t="shared" si="55"/>
        <v>650</v>
      </c>
      <c r="BS24" s="70">
        <f t="shared" si="34"/>
        <v>0</v>
      </c>
      <c r="BU24" s="68">
        <f t="shared" si="35"/>
        <v>0</v>
      </c>
      <c r="BV24" s="65" t="str">
        <f t="shared" si="36"/>
        <v>hod</v>
      </c>
      <c r="BW24" s="65"/>
      <c r="BX24" s="69">
        <f t="shared" si="56"/>
        <v>950</v>
      </c>
      <c r="BY24" s="70">
        <f t="shared" si="37"/>
        <v>0</v>
      </c>
      <c r="CA24" s="68">
        <f t="shared" si="38"/>
        <v>0</v>
      </c>
      <c r="CB24" s="65" t="str">
        <f t="shared" si="39"/>
        <v>hod</v>
      </c>
      <c r="CC24" s="65"/>
      <c r="CD24" s="69">
        <f t="shared" si="57"/>
        <v>600</v>
      </c>
      <c r="CE24" s="70">
        <f t="shared" si="40"/>
        <v>0</v>
      </c>
      <c r="CG24" s="68">
        <f t="shared" si="41"/>
        <v>0</v>
      </c>
      <c r="CH24" s="69">
        <f t="shared" si="58"/>
        <v>0</v>
      </c>
      <c r="CI24" s="85">
        <f t="shared" si="59"/>
        <v>0</v>
      </c>
    </row>
    <row r="25" ht="12.75" customHeight="1">
      <c r="A25" s="68">
        <v>0.0</v>
      </c>
      <c r="B25" s="65" t="s">
        <v>86</v>
      </c>
      <c r="C25" s="65"/>
      <c r="D25" s="69">
        <f t="shared" si="42"/>
        <v>500</v>
      </c>
      <c r="E25" s="70">
        <f t="shared" si="3"/>
        <v>0</v>
      </c>
      <c r="G25" s="68">
        <f t="shared" ref="G25:H25" si="96">A25</f>
        <v>0</v>
      </c>
      <c r="H25" s="65" t="str">
        <f t="shared" si="96"/>
        <v>hod</v>
      </c>
      <c r="I25" s="65"/>
      <c r="J25" s="69">
        <f t="shared" si="44"/>
        <v>400</v>
      </c>
      <c r="K25" s="70">
        <f t="shared" si="5"/>
        <v>0</v>
      </c>
      <c r="M25" s="68">
        <f t="shared" si="6"/>
        <v>0</v>
      </c>
      <c r="N25" s="65" t="str">
        <f t="shared" si="7"/>
        <v>hod</v>
      </c>
      <c r="O25" s="65"/>
      <c r="P25" s="69">
        <f t="shared" si="45"/>
        <v>700</v>
      </c>
      <c r="Q25" s="70">
        <f t="shared" si="8"/>
        <v>0</v>
      </c>
      <c r="S25" s="68">
        <f t="shared" si="9"/>
        <v>0</v>
      </c>
      <c r="T25" s="65" t="str">
        <f t="shared" si="10"/>
        <v>hod</v>
      </c>
      <c r="U25" s="65"/>
      <c r="V25" s="69">
        <f t="shared" si="46"/>
        <v>650</v>
      </c>
      <c r="W25" s="70">
        <f t="shared" si="11"/>
        <v>0</v>
      </c>
      <c r="Y25" s="68">
        <f t="shared" si="12"/>
        <v>0</v>
      </c>
      <c r="Z25" s="65" t="str">
        <f t="shared" si="13"/>
        <v>hod</v>
      </c>
      <c r="AA25" s="65"/>
      <c r="AB25" s="69">
        <f t="shared" si="47"/>
        <v>650</v>
      </c>
      <c r="AC25" s="70">
        <f t="shared" si="14"/>
        <v>0</v>
      </c>
      <c r="AE25" s="68">
        <f t="shared" si="15"/>
        <v>0</v>
      </c>
      <c r="AF25" s="65" t="str">
        <f t="shared" si="16"/>
        <v>hod</v>
      </c>
      <c r="AG25" s="65"/>
      <c r="AH25" s="69">
        <f t="shared" si="48"/>
        <v>700</v>
      </c>
      <c r="AI25" s="70">
        <f t="shared" si="17"/>
        <v>0</v>
      </c>
      <c r="AK25" s="68">
        <f t="shared" si="18"/>
        <v>0</v>
      </c>
      <c r="AL25" s="65" t="str">
        <f t="shared" si="19"/>
        <v>hod</v>
      </c>
      <c r="AM25" s="65"/>
      <c r="AN25" s="69">
        <f t="shared" si="49"/>
        <v>600</v>
      </c>
      <c r="AO25" s="70">
        <f t="shared" si="20"/>
        <v>0</v>
      </c>
      <c r="AQ25" s="68">
        <f t="shared" ref="AQ25:AR25" si="97">AK25</f>
        <v>0</v>
      </c>
      <c r="AR25" s="65" t="str">
        <f t="shared" si="97"/>
        <v>hod</v>
      </c>
      <c r="AS25" s="65"/>
      <c r="AT25" s="69">
        <f t="shared" si="51"/>
        <v>600</v>
      </c>
      <c r="AU25" s="70">
        <f t="shared" si="22"/>
        <v>0</v>
      </c>
      <c r="AW25" s="68">
        <f t="shared" si="23"/>
        <v>0</v>
      </c>
      <c r="AX25" s="65" t="str">
        <f t="shared" si="24"/>
        <v>hod</v>
      </c>
      <c r="AY25" s="65"/>
      <c r="AZ25" s="69">
        <f t="shared" si="52"/>
        <v>600</v>
      </c>
      <c r="BA25" s="70">
        <f t="shared" si="25"/>
        <v>0</v>
      </c>
      <c r="BC25" s="68">
        <f t="shared" si="26"/>
        <v>0</v>
      </c>
      <c r="BD25" s="65" t="str">
        <f t="shared" si="27"/>
        <v>hod</v>
      </c>
      <c r="BE25" s="65"/>
      <c r="BF25" s="69">
        <f t="shared" si="53"/>
        <v>600</v>
      </c>
      <c r="BG25" s="70">
        <f t="shared" si="28"/>
        <v>0</v>
      </c>
      <c r="BI25" s="68">
        <f t="shared" si="29"/>
        <v>0</v>
      </c>
      <c r="BJ25" s="65" t="str">
        <f t="shared" si="30"/>
        <v>hod</v>
      </c>
      <c r="BK25" s="65"/>
      <c r="BL25" s="69">
        <f t="shared" si="54"/>
        <v>800</v>
      </c>
      <c r="BM25" s="70">
        <f t="shared" si="31"/>
        <v>0</v>
      </c>
      <c r="BO25" s="68">
        <f t="shared" si="32"/>
        <v>0</v>
      </c>
      <c r="BP25" s="65" t="str">
        <f t="shared" si="33"/>
        <v>hod</v>
      </c>
      <c r="BQ25" s="65"/>
      <c r="BR25" s="69">
        <f t="shared" si="55"/>
        <v>650</v>
      </c>
      <c r="BS25" s="70">
        <f t="shared" si="34"/>
        <v>0</v>
      </c>
      <c r="BU25" s="68">
        <f t="shared" si="35"/>
        <v>0</v>
      </c>
      <c r="BV25" s="65" t="str">
        <f t="shared" si="36"/>
        <v>hod</v>
      </c>
      <c r="BW25" s="65"/>
      <c r="BX25" s="69">
        <f t="shared" si="56"/>
        <v>950</v>
      </c>
      <c r="BY25" s="70">
        <f t="shared" si="37"/>
        <v>0</v>
      </c>
      <c r="CA25" s="68">
        <f t="shared" si="38"/>
        <v>0</v>
      </c>
      <c r="CB25" s="65" t="str">
        <f t="shared" si="39"/>
        <v>hod</v>
      </c>
      <c r="CC25" s="65"/>
      <c r="CD25" s="69">
        <f t="shared" si="57"/>
        <v>600</v>
      </c>
      <c r="CE25" s="70">
        <f t="shared" si="40"/>
        <v>0</v>
      </c>
      <c r="CG25" s="68">
        <f t="shared" si="41"/>
        <v>0</v>
      </c>
      <c r="CH25" s="69">
        <f t="shared" si="58"/>
        <v>0</v>
      </c>
      <c r="CI25" s="85">
        <f t="shared" si="59"/>
        <v>0</v>
      </c>
    </row>
    <row r="26" ht="12.75" customHeight="1">
      <c r="A26" s="68">
        <v>0.0</v>
      </c>
      <c r="B26" s="65" t="s">
        <v>86</v>
      </c>
      <c r="C26" s="65"/>
      <c r="D26" s="69">
        <f t="shared" si="42"/>
        <v>500</v>
      </c>
      <c r="E26" s="70">
        <f t="shared" si="3"/>
        <v>0</v>
      </c>
      <c r="G26" s="68">
        <f t="shared" ref="G26:H26" si="98">A26</f>
        <v>0</v>
      </c>
      <c r="H26" s="65" t="str">
        <f t="shared" si="98"/>
        <v>hod</v>
      </c>
      <c r="I26" s="65"/>
      <c r="J26" s="69">
        <f t="shared" si="44"/>
        <v>400</v>
      </c>
      <c r="K26" s="70">
        <f t="shared" si="5"/>
        <v>0</v>
      </c>
      <c r="M26" s="68">
        <f t="shared" si="6"/>
        <v>0</v>
      </c>
      <c r="N26" s="65" t="str">
        <f t="shared" si="7"/>
        <v>hod</v>
      </c>
      <c r="O26" s="65"/>
      <c r="P26" s="69">
        <f t="shared" si="45"/>
        <v>700</v>
      </c>
      <c r="Q26" s="70">
        <f t="shared" si="8"/>
        <v>0</v>
      </c>
      <c r="S26" s="68">
        <f t="shared" si="9"/>
        <v>0</v>
      </c>
      <c r="T26" s="65" t="str">
        <f t="shared" si="10"/>
        <v>hod</v>
      </c>
      <c r="U26" s="65"/>
      <c r="V26" s="69">
        <f t="shared" si="46"/>
        <v>650</v>
      </c>
      <c r="W26" s="70">
        <f t="shared" si="11"/>
        <v>0</v>
      </c>
      <c r="Y26" s="68">
        <f t="shared" si="12"/>
        <v>0</v>
      </c>
      <c r="Z26" s="65" t="str">
        <f t="shared" si="13"/>
        <v>hod</v>
      </c>
      <c r="AA26" s="65"/>
      <c r="AB26" s="69">
        <f t="shared" si="47"/>
        <v>650</v>
      </c>
      <c r="AC26" s="70">
        <f t="shared" si="14"/>
        <v>0</v>
      </c>
      <c r="AE26" s="68">
        <f t="shared" si="15"/>
        <v>0</v>
      </c>
      <c r="AF26" s="65" t="str">
        <f t="shared" si="16"/>
        <v>hod</v>
      </c>
      <c r="AG26" s="65"/>
      <c r="AH26" s="69">
        <f t="shared" si="48"/>
        <v>700</v>
      </c>
      <c r="AI26" s="70">
        <f t="shared" si="17"/>
        <v>0</v>
      </c>
      <c r="AK26" s="68">
        <f t="shared" si="18"/>
        <v>0</v>
      </c>
      <c r="AL26" s="65" t="str">
        <f t="shared" si="19"/>
        <v>hod</v>
      </c>
      <c r="AM26" s="65"/>
      <c r="AN26" s="69">
        <f t="shared" si="49"/>
        <v>600</v>
      </c>
      <c r="AO26" s="70">
        <f t="shared" si="20"/>
        <v>0</v>
      </c>
      <c r="AQ26" s="68">
        <f t="shared" ref="AQ26:AR26" si="99">AK26</f>
        <v>0</v>
      </c>
      <c r="AR26" s="65" t="str">
        <f t="shared" si="99"/>
        <v>hod</v>
      </c>
      <c r="AS26" s="65"/>
      <c r="AT26" s="69">
        <f t="shared" si="51"/>
        <v>600</v>
      </c>
      <c r="AU26" s="70">
        <f t="shared" si="22"/>
        <v>0</v>
      </c>
      <c r="AW26" s="68">
        <f t="shared" si="23"/>
        <v>0</v>
      </c>
      <c r="AX26" s="65" t="str">
        <f t="shared" si="24"/>
        <v>hod</v>
      </c>
      <c r="AY26" s="65"/>
      <c r="AZ26" s="69">
        <f t="shared" si="52"/>
        <v>600</v>
      </c>
      <c r="BA26" s="70">
        <f t="shared" si="25"/>
        <v>0</v>
      </c>
      <c r="BC26" s="68">
        <f t="shared" si="26"/>
        <v>0</v>
      </c>
      <c r="BD26" s="65" t="str">
        <f t="shared" si="27"/>
        <v>hod</v>
      </c>
      <c r="BE26" s="65"/>
      <c r="BF26" s="69">
        <f t="shared" si="53"/>
        <v>600</v>
      </c>
      <c r="BG26" s="70">
        <f t="shared" si="28"/>
        <v>0</v>
      </c>
      <c r="BI26" s="68">
        <f t="shared" si="29"/>
        <v>0</v>
      </c>
      <c r="BJ26" s="65" t="str">
        <f t="shared" si="30"/>
        <v>hod</v>
      </c>
      <c r="BK26" s="65"/>
      <c r="BL26" s="69">
        <f t="shared" si="54"/>
        <v>800</v>
      </c>
      <c r="BM26" s="70">
        <f t="shared" si="31"/>
        <v>0</v>
      </c>
      <c r="BO26" s="68">
        <f t="shared" si="32"/>
        <v>0</v>
      </c>
      <c r="BP26" s="65" t="str">
        <f t="shared" si="33"/>
        <v>hod</v>
      </c>
      <c r="BQ26" s="65"/>
      <c r="BR26" s="69">
        <f t="shared" si="55"/>
        <v>650</v>
      </c>
      <c r="BS26" s="70">
        <f t="shared" si="34"/>
        <v>0</v>
      </c>
      <c r="BU26" s="68">
        <f t="shared" si="35"/>
        <v>0</v>
      </c>
      <c r="BV26" s="65" t="str">
        <f t="shared" si="36"/>
        <v>hod</v>
      </c>
      <c r="BW26" s="65"/>
      <c r="BX26" s="69">
        <f t="shared" si="56"/>
        <v>950</v>
      </c>
      <c r="BY26" s="70">
        <f t="shared" si="37"/>
        <v>0</v>
      </c>
      <c r="CA26" s="68">
        <f t="shared" si="38"/>
        <v>0</v>
      </c>
      <c r="CB26" s="65" t="str">
        <f t="shared" si="39"/>
        <v>hod</v>
      </c>
      <c r="CC26" s="65"/>
      <c r="CD26" s="69">
        <f t="shared" si="57"/>
        <v>600</v>
      </c>
      <c r="CE26" s="70">
        <f t="shared" si="40"/>
        <v>0</v>
      </c>
      <c r="CG26" s="68">
        <f t="shared" si="41"/>
        <v>0</v>
      </c>
      <c r="CH26" s="69">
        <f t="shared" si="58"/>
        <v>0</v>
      </c>
      <c r="CI26" s="85">
        <f t="shared" si="59"/>
        <v>0</v>
      </c>
    </row>
    <row r="27" ht="12.75" customHeight="1">
      <c r="A27" s="68">
        <v>0.0</v>
      </c>
      <c r="B27" s="65" t="s">
        <v>86</v>
      </c>
      <c r="C27" s="65"/>
      <c r="D27" s="69">
        <f t="shared" si="42"/>
        <v>500</v>
      </c>
      <c r="E27" s="70">
        <f t="shared" si="3"/>
        <v>0</v>
      </c>
      <c r="G27" s="68">
        <f t="shared" ref="G27:H27" si="100">A27</f>
        <v>0</v>
      </c>
      <c r="H27" s="65" t="str">
        <f t="shared" si="100"/>
        <v>hod</v>
      </c>
      <c r="I27" s="65"/>
      <c r="J27" s="69">
        <f t="shared" si="44"/>
        <v>400</v>
      </c>
      <c r="K27" s="70">
        <f t="shared" si="5"/>
        <v>0</v>
      </c>
      <c r="M27" s="68">
        <f t="shared" si="6"/>
        <v>0</v>
      </c>
      <c r="N27" s="65" t="str">
        <f t="shared" si="7"/>
        <v>hod</v>
      </c>
      <c r="O27" s="65"/>
      <c r="P27" s="69">
        <f t="shared" si="45"/>
        <v>700</v>
      </c>
      <c r="Q27" s="70">
        <f t="shared" si="8"/>
        <v>0</v>
      </c>
      <c r="S27" s="68">
        <f t="shared" si="9"/>
        <v>0</v>
      </c>
      <c r="T27" s="65" t="str">
        <f t="shared" si="10"/>
        <v>hod</v>
      </c>
      <c r="U27" s="65"/>
      <c r="V27" s="69">
        <f t="shared" si="46"/>
        <v>650</v>
      </c>
      <c r="W27" s="70">
        <f t="shared" si="11"/>
        <v>0</v>
      </c>
      <c r="Y27" s="68">
        <f t="shared" si="12"/>
        <v>0</v>
      </c>
      <c r="Z27" s="65" t="str">
        <f t="shared" si="13"/>
        <v>hod</v>
      </c>
      <c r="AA27" s="65"/>
      <c r="AB27" s="69">
        <f t="shared" si="47"/>
        <v>650</v>
      </c>
      <c r="AC27" s="70">
        <f t="shared" si="14"/>
        <v>0</v>
      </c>
      <c r="AE27" s="68">
        <f t="shared" si="15"/>
        <v>0</v>
      </c>
      <c r="AF27" s="65" t="str">
        <f t="shared" si="16"/>
        <v>hod</v>
      </c>
      <c r="AG27" s="65"/>
      <c r="AH27" s="69">
        <f t="shared" si="48"/>
        <v>700</v>
      </c>
      <c r="AI27" s="70">
        <f t="shared" si="17"/>
        <v>0</v>
      </c>
      <c r="AK27" s="68">
        <f t="shared" si="18"/>
        <v>0</v>
      </c>
      <c r="AL27" s="65" t="str">
        <f t="shared" si="19"/>
        <v>hod</v>
      </c>
      <c r="AM27" s="65"/>
      <c r="AN27" s="69">
        <f t="shared" si="49"/>
        <v>600</v>
      </c>
      <c r="AO27" s="70">
        <f t="shared" si="20"/>
        <v>0</v>
      </c>
      <c r="AQ27" s="68">
        <f t="shared" ref="AQ27:AR27" si="101">AK27</f>
        <v>0</v>
      </c>
      <c r="AR27" s="65" t="str">
        <f t="shared" si="101"/>
        <v>hod</v>
      </c>
      <c r="AS27" s="65"/>
      <c r="AT27" s="69">
        <f t="shared" si="51"/>
        <v>600</v>
      </c>
      <c r="AU27" s="70">
        <f t="shared" si="22"/>
        <v>0</v>
      </c>
      <c r="AW27" s="68">
        <f t="shared" si="23"/>
        <v>0</v>
      </c>
      <c r="AX27" s="65" t="str">
        <f t="shared" si="24"/>
        <v>hod</v>
      </c>
      <c r="AY27" s="65"/>
      <c r="AZ27" s="69">
        <f t="shared" si="52"/>
        <v>600</v>
      </c>
      <c r="BA27" s="70">
        <f t="shared" si="25"/>
        <v>0</v>
      </c>
      <c r="BC27" s="68">
        <f t="shared" si="26"/>
        <v>0</v>
      </c>
      <c r="BD27" s="65" t="str">
        <f t="shared" si="27"/>
        <v>hod</v>
      </c>
      <c r="BE27" s="65"/>
      <c r="BF27" s="69">
        <f t="shared" si="53"/>
        <v>600</v>
      </c>
      <c r="BG27" s="70">
        <f t="shared" si="28"/>
        <v>0</v>
      </c>
      <c r="BI27" s="68">
        <f t="shared" si="29"/>
        <v>0</v>
      </c>
      <c r="BJ27" s="65" t="str">
        <f t="shared" si="30"/>
        <v>hod</v>
      </c>
      <c r="BK27" s="65"/>
      <c r="BL27" s="69">
        <f t="shared" si="54"/>
        <v>800</v>
      </c>
      <c r="BM27" s="70">
        <f t="shared" si="31"/>
        <v>0</v>
      </c>
      <c r="BO27" s="68">
        <f t="shared" si="32"/>
        <v>0</v>
      </c>
      <c r="BP27" s="65" t="str">
        <f t="shared" si="33"/>
        <v>hod</v>
      </c>
      <c r="BQ27" s="65"/>
      <c r="BR27" s="69">
        <f t="shared" si="55"/>
        <v>650</v>
      </c>
      <c r="BS27" s="70">
        <f t="shared" si="34"/>
        <v>0</v>
      </c>
      <c r="BU27" s="68">
        <f t="shared" si="35"/>
        <v>0</v>
      </c>
      <c r="BV27" s="65" t="str">
        <f t="shared" si="36"/>
        <v>hod</v>
      </c>
      <c r="BW27" s="65"/>
      <c r="BX27" s="69">
        <f t="shared" si="56"/>
        <v>950</v>
      </c>
      <c r="BY27" s="70">
        <f t="shared" si="37"/>
        <v>0</v>
      </c>
      <c r="CA27" s="68">
        <f t="shared" si="38"/>
        <v>0</v>
      </c>
      <c r="CB27" s="65" t="str">
        <f t="shared" si="39"/>
        <v>hod</v>
      </c>
      <c r="CC27" s="65"/>
      <c r="CD27" s="69">
        <f t="shared" si="57"/>
        <v>600</v>
      </c>
      <c r="CE27" s="70">
        <f t="shared" si="40"/>
        <v>0</v>
      </c>
      <c r="CG27" s="68">
        <f t="shared" si="41"/>
        <v>0</v>
      </c>
      <c r="CH27" s="69">
        <f t="shared" si="58"/>
        <v>0</v>
      </c>
      <c r="CI27" s="85">
        <f t="shared" si="59"/>
        <v>0</v>
      </c>
    </row>
    <row r="28" ht="12.75" customHeight="1">
      <c r="A28" s="68">
        <v>0.0</v>
      </c>
      <c r="B28" s="65" t="s">
        <v>86</v>
      </c>
      <c r="C28" s="65"/>
      <c r="D28" s="69">
        <f t="shared" si="42"/>
        <v>500</v>
      </c>
      <c r="E28" s="70">
        <f t="shared" si="3"/>
        <v>0</v>
      </c>
      <c r="G28" s="68">
        <f t="shared" ref="G28:H28" si="102">A28</f>
        <v>0</v>
      </c>
      <c r="H28" s="65" t="str">
        <f t="shared" si="102"/>
        <v>hod</v>
      </c>
      <c r="I28" s="65"/>
      <c r="J28" s="69">
        <f t="shared" si="44"/>
        <v>400</v>
      </c>
      <c r="K28" s="70">
        <f t="shared" si="5"/>
        <v>0</v>
      </c>
      <c r="M28" s="68">
        <f t="shared" si="6"/>
        <v>0</v>
      </c>
      <c r="N28" s="65" t="str">
        <f t="shared" si="7"/>
        <v>hod</v>
      </c>
      <c r="O28" s="65"/>
      <c r="P28" s="69">
        <f t="shared" si="45"/>
        <v>700</v>
      </c>
      <c r="Q28" s="70">
        <f t="shared" si="8"/>
        <v>0</v>
      </c>
      <c r="S28" s="68">
        <f t="shared" si="9"/>
        <v>0</v>
      </c>
      <c r="T28" s="65" t="str">
        <f t="shared" si="10"/>
        <v>hod</v>
      </c>
      <c r="U28" s="65"/>
      <c r="V28" s="69">
        <f t="shared" si="46"/>
        <v>650</v>
      </c>
      <c r="W28" s="70">
        <f t="shared" si="11"/>
        <v>0</v>
      </c>
      <c r="Y28" s="68">
        <f t="shared" si="12"/>
        <v>0</v>
      </c>
      <c r="Z28" s="65" t="str">
        <f t="shared" si="13"/>
        <v>hod</v>
      </c>
      <c r="AA28" s="65"/>
      <c r="AB28" s="69">
        <f t="shared" si="47"/>
        <v>650</v>
      </c>
      <c r="AC28" s="70">
        <f t="shared" si="14"/>
        <v>0</v>
      </c>
      <c r="AE28" s="68">
        <f t="shared" si="15"/>
        <v>0</v>
      </c>
      <c r="AF28" s="65" t="str">
        <f t="shared" si="16"/>
        <v>hod</v>
      </c>
      <c r="AG28" s="65"/>
      <c r="AH28" s="69">
        <f t="shared" si="48"/>
        <v>700</v>
      </c>
      <c r="AI28" s="70">
        <f t="shared" si="17"/>
        <v>0</v>
      </c>
      <c r="AK28" s="68">
        <f t="shared" si="18"/>
        <v>0</v>
      </c>
      <c r="AL28" s="65" t="str">
        <f t="shared" si="19"/>
        <v>hod</v>
      </c>
      <c r="AM28" s="65"/>
      <c r="AN28" s="69">
        <f t="shared" si="49"/>
        <v>600</v>
      </c>
      <c r="AO28" s="70">
        <f t="shared" si="20"/>
        <v>0</v>
      </c>
      <c r="AQ28" s="68">
        <f t="shared" ref="AQ28:AR28" si="103">AK28</f>
        <v>0</v>
      </c>
      <c r="AR28" s="65" t="str">
        <f t="shared" si="103"/>
        <v>hod</v>
      </c>
      <c r="AS28" s="65"/>
      <c r="AT28" s="69">
        <f t="shared" si="51"/>
        <v>600</v>
      </c>
      <c r="AU28" s="70">
        <f t="shared" si="22"/>
        <v>0</v>
      </c>
      <c r="AW28" s="68">
        <f t="shared" si="23"/>
        <v>0</v>
      </c>
      <c r="AX28" s="65" t="str">
        <f t="shared" si="24"/>
        <v>hod</v>
      </c>
      <c r="AY28" s="65"/>
      <c r="AZ28" s="69">
        <f t="shared" si="52"/>
        <v>600</v>
      </c>
      <c r="BA28" s="70">
        <f t="shared" si="25"/>
        <v>0</v>
      </c>
      <c r="BC28" s="68">
        <f t="shared" si="26"/>
        <v>0</v>
      </c>
      <c r="BD28" s="65" t="str">
        <f t="shared" si="27"/>
        <v>hod</v>
      </c>
      <c r="BE28" s="65"/>
      <c r="BF28" s="69">
        <f t="shared" si="53"/>
        <v>600</v>
      </c>
      <c r="BG28" s="70">
        <f t="shared" si="28"/>
        <v>0</v>
      </c>
      <c r="BI28" s="68">
        <f t="shared" si="29"/>
        <v>0</v>
      </c>
      <c r="BJ28" s="65" t="str">
        <f t="shared" si="30"/>
        <v>hod</v>
      </c>
      <c r="BK28" s="65"/>
      <c r="BL28" s="69">
        <f t="shared" si="54"/>
        <v>800</v>
      </c>
      <c r="BM28" s="70">
        <f t="shared" si="31"/>
        <v>0</v>
      </c>
      <c r="BO28" s="68">
        <f t="shared" si="32"/>
        <v>0</v>
      </c>
      <c r="BP28" s="65" t="str">
        <f t="shared" si="33"/>
        <v>hod</v>
      </c>
      <c r="BQ28" s="65"/>
      <c r="BR28" s="69">
        <f t="shared" si="55"/>
        <v>650</v>
      </c>
      <c r="BS28" s="70">
        <f t="shared" si="34"/>
        <v>0</v>
      </c>
      <c r="BU28" s="68">
        <f t="shared" si="35"/>
        <v>0</v>
      </c>
      <c r="BV28" s="65" t="str">
        <f t="shared" si="36"/>
        <v>hod</v>
      </c>
      <c r="BW28" s="65"/>
      <c r="BX28" s="69">
        <f t="shared" si="56"/>
        <v>950</v>
      </c>
      <c r="BY28" s="70">
        <f t="shared" si="37"/>
        <v>0</v>
      </c>
      <c r="CA28" s="68">
        <f t="shared" si="38"/>
        <v>0</v>
      </c>
      <c r="CB28" s="65" t="str">
        <f t="shared" si="39"/>
        <v>hod</v>
      </c>
      <c r="CC28" s="65"/>
      <c r="CD28" s="69">
        <f t="shared" si="57"/>
        <v>600</v>
      </c>
      <c r="CE28" s="70">
        <f t="shared" si="40"/>
        <v>0</v>
      </c>
      <c r="CG28" s="68">
        <f t="shared" si="41"/>
        <v>0</v>
      </c>
      <c r="CH28" s="69">
        <f t="shared" si="58"/>
        <v>0</v>
      </c>
      <c r="CI28" s="85">
        <f t="shared" si="59"/>
        <v>0</v>
      </c>
    </row>
    <row r="29" ht="12.75" customHeight="1">
      <c r="A29" s="68">
        <v>0.0</v>
      </c>
      <c r="B29" s="65" t="s">
        <v>86</v>
      </c>
      <c r="C29" s="65"/>
      <c r="D29" s="69">
        <f t="shared" si="42"/>
        <v>500</v>
      </c>
      <c r="E29" s="70">
        <f t="shared" si="3"/>
        <v>0</v>
      </c>
      <c r="G29" s="68">
        <f t="shared" ref="G29:H29" si="104">A29</f>
        <v>0</v>
      </c>
      <c r="H29" s="65" t="str">
        <f t="shared" si="104"/>
        <v>hod</v>
      </c>
      <c r="I29" s="65"/>
      <c r="J29" s="69">
        <f t="shared" si="44"/>
        <v>400</v>
      </c>
      <c r="K29" s="70">
        <f t="shared" si="5"/>
        <v>0</v>
      </c>
      <c r="M29" s="68">
        <f t="shared" si="6"/>
        <v>0</v>
      </c>
      <c r="N29" s="65" t="str">
        <f t="shared" si="7"/>
        <v>hod</v>
      </c>
      <c r="O29" s="65"/>
      <c r="P29" s="69">
        <f t="shared" si="45"/>
        <v>700</v>
      </c>
      <c r="Q29" s="70">
        <f t="shared" si="8"/>
        <v>0</v>
      </c>
      <c r="S29" s="68">
        <f t="shared" si="9"/>
        <v>0</v>
      </c>
      <c r="T29" s="65" t="str">
        <f t="shared" si="10"/>
        <v>hod</v>
      </c>
      <c r="U29" s="65"/>
      <c r="V29" s="69">
        <f t="shared" si="46"/>
        <v>650</v>
      </c>
      <c r="W29" s="70">
        <f t="shared" si="11"/>
        <v>0</v>
      </c>
      <c r="Y29" s="68">
        <f t="shared" si="12"/>
        <v>0</v>
      </c>
      <c r="Z29" s="65" t="str">
        <f t="shared" si="13"/>
        <v>hod</v>
      </c>
      <c r="AA29" s="65"/>
      <c r="AB29" s="69">
        <f t="shared" si="47"/>
        <v>650</v>
      </c>
      <c r="AC29" s="70">
        <f t="shared" si="14"/>
        <v>0</v>
      </c>
      <c r="AE29" s="68">
        <f t="shared" si="15"/>
        <v>0</v>
      </c>
      <c r="AF29" s="65" t="str">
        <f t="shared" si="16"/>
        <v>hod</v>
      </c>
      <c r="AG29" s="65"/>
      <c r="AH29" s="69">
        <f t="shared" si="48"/>
        <v>700</v>
      </c>
      <c r="AI29" s="70">
        <f t="shared" si="17"/>
        <v>0</v>
      </c>
      <c r="AK29" s="68">
        <f t="shared" si="18"/>
        <v>0</v>
      </c>
      <c r="AL29" s="65" t="str">
        <f t="shared" si="19"/>
        <v>hod</v>
      </c>
      <c r="AM29" s="65"/>
      <c r="AN29" s="69">
        <f t="shared" si="49"/>
        <v>600</v>
      </c>
      <c r="AO29" s="70">
        <f t="shared" si="20"/>
        <v>0</v>
      </c>
      <c r="AQ29" s="68">
        <f t="shared" ref="AQ29:AR29" si="105">AK29</f>
        <v>0</v>
      </c>
      <c r="AR29" s="65" t="str">
        <f t="shared" si="105"/>
        <v>hod</v>
      </c>
      <c r="AS29" s="65"/>
      <c r="AT29" s="69">
        <f t="shared" si="51"/>
        <v>600</v>
      </c>
      <c r="AU29" s="70">
        <f t="shared" si="22"/>
        <v>0</v>
      </c>
      <c r="AW29" s="68">
        <f t="shared" si="23"/>
        <v>0</v>
      </c>
      <c r="AX29" s="65" t="str">
        <f t="shared" si="24"/>
        <v>hod</v>
      </c>
      <c r="AY29" s="65"/>
      <c r="AZ29" s="69">
        <f t="shared" si="52"/>
        <v>600</v>
      </c>
      <c r="BA29" s="70">
        <f t="shared" si="25"/>
        <v>0</v>
      </c>
      <c r="BC29" s="68">
        <f t="shared" si="26"/>
        <v>0</v>
      </c>
      <c r="BD29" s="65" t="str">
        <f t="shared" si="27"/>
        <v>hod</v>
      </c>
      <c r="BE29" s="65"/>
      <c r="BF29" s="69">
        <f t="shared" si="53"/>
        <v>600</v>
      </c>
      <c r="BG29" s="70">
        <f t="shared" si="28"/>
        <v>0</v>
      </c>
      <c r="BI29" s="68">
        <f t="shared" si="29"/>
        <v>0</v>
      </c>
      <c r="BJ29" s="65" t="str">
        <f t="shared" si="30"/>
        <v>hod</v>
      </c>
      <c r="BK29" s="65"/>
      <c r="BL29" s="69">
        <f t="shared" si="54"/>
        <v>800</v>
      </c>
      <c r="BM29" s="70">
        <f t="shared" si="31"/>
        <v>0</v>
      </c>
      <c r="BO29" s="68">
        <f t="shared" si="32"/>
        <v>0</v>
      </c>
      <c r="BP29" s="65" t="str">
        <f t="shared" si="33"/>
        <v>hod</v>
      </c>
      <c r="BQ29" s="65"/>
      <c r="BR29" s="69">
        <f t="shared" si="55"/>
        <v>650</v>
      </c>
      <c r="BS29" s="70">
        <f t="shared" si="34"/>
        <v>0</v>
      </c>
      <c r="BU29" s="68">
        <f t="shared" si="35"/>
        <v>0</v>
      </c>
      <c r="BV29" s="65" t="str">
        <f t="shared" si="36"/>
        <v>hod</v>
      </c>
      <c r="BW29" s="65"/>
      <c r="BX29" s="69">
        <f t="shared" si="56"/>
        <v>950</v>
      </c>
      <c r="BY29" s="70">
        <f t="shared" si="37"/>
        <v>0</v>
      </c>
      <c r="CA29" s="68">
        <f t="shared" si="38"/>
        <v>0</v>
      </c>
      <c r="CB29" s="65" t="str">
        <f t="shared" si="39"/>
        <v>hod</v>
      </c>
      <c r="CC29" s="65"/>
      <c r="CD29" s="69">
        <f t="shared" si="57"/>
        <v>600</v>
      </c>
      <c r="CE29" s="70">
        <f t="shared" si="40"/>
        <v>0</v>
      </c>
      <c r="CG29" s="68">
        <f t="shared" si="41"/>
        <v>0</v>
      </c>
      <c r="CH29" s="69">
        <f t="shared" si="58"/>
        <v>0</v>
      </c>
      <c r="CI29" s="85">
        <f t="shared" si="59"/>
        <v>0</v>
      </c>
    </row>
    <row r="30" ht="12.75" customHeight="1">
      <c r="A30" s="68">
        <v>0.0</v>
      </c>
      <c r="B30" s="65" t="s">
        <v>86</v>
      </c>
      <c r="C30" s="65"/>
      <c r="D30" s="69">
        <f t="shared" si="42"/>
        <v>500</v>
      </c>
      <c r="E30" s="70">
        <f t="shared" si="3"/>
        <v>0</v>
      </c>
      <c r="G30" s="68">
        <f t="shared" ref="G30:H30" si="106">A30</f>
        <v>0</v>
      </c>
      <c r="H30" s="65" t="str">
        <f t="shared" si="106"/>
        <v>hod</v>
      </c>
      <c r="I30" s="65"/>
      <c r="J30" s="69">
        <f t="shared" si="44"/>
        <v>400</v>
      </c>
      <c r="K30" s="70">
        <f t="shared" si="5"/>
        <v>0</v>
      </c>
      <c r="M30" s="68">
        <f t="shared" si="6"/>
        <v>0</v>
      </c>
      <c r="N30" s="65" t="str">
        <f t="shared" si="7"/>
        <v>hod</v>
      </c>
      <c r="O30" s="65"/>
      <c r="P30" s="69">
        <f t="shared" si="45"/>
        <v>700</v>
      </c>
      <c r="Q30" s="70">
        <f t="shared" si="8"/>
        <v>0</v>
      </c>
      <c r="S30" s="68">
        <f t="shared" si="9"/>
        <v>0</v>
      </c>
      <c r="T30" s="65" t="str">
        <f t="shared" si="10"/>
        <v>hod</v>
      </c>
      <c r="U30" s="65"/>
      <c r="V30" s="69">
        <f t="shared" si="46"/>
        <v>650</v>
      </c>
      <c r="W30" s="70">
        <f t="shared" si="11"/>
        <v>0</v>
      </c>
      <c r="Y30" s="68">
        <f t="shared" si="12"/>
        <v>0</v>
      </c>
      <c r="Z30" s="65" t="str">
        <f t="shared" si="13"/>
        <v>hod</v>
      </c>
      <c r="AA30" s="65"/>
      <c r="AB30" s="69">
        <f t="shared" si="47"/>
        <v>650</v>
      </c>
      <c r="AC30" s="70">
        <f t="shared" si="14"/>
        <v>0</v>
      </c>
      <c r="AE30" s="68">
        <f t="shared" si="15"/>
        <v>0</v>
      </c>
      <c r="AF30" s="65" t="str">
        <f t="shared" si="16"/>
        <v>hod</v>
      </c>
      <c r="AG30" s="65"/>
      <c r="AH30" s="69">
        <f t="shared" si="48"/>
        <v>700</v>
      </c>
      <c r="AI30" s="70">
        <f t="shared" si="17"/>
        <v>0</v>
      </c>
      <c r="AK30" s="68">
        <f t="shared" si="18"/>
        <v>0</v>
      </c>
      <c r="AL30" s="65" t="str">
        <f t="shared" si="19"/>
        <v>hod</v>
      </c>
      <c r="AM30" s="65"/>
      <c r="AN30" s="69">
        <f t="shared" si="49"/>
        <v>600</v>
      </c>
      <c r="AO30" s="70">
        <f t="shared" si="20"/>
        <v>0</v>
      </c>
      <c r="AQ30" s="68">
        <f t="shared" ref="AQ30:AR30" si="107">AK30</f>
        <v>0</v>
      </c>
      <c r="AR30" s="65" t="str">
        <f t="shared" si="107"/>
        <v>hod</v>
      </c>
      <c r="AS30" s="65"/>
      <c r="AT30" s="69">
        <f t="shared" si="51"/>
        <v>600</v>
      </c>
      <c r="AU30" s="70">
        <f t="shared" si="22"/>
        <v>0</v>
      </c>
      <c r="AW30" s="68">
        <f t="shared" si="23"/>
        <v>0</v>
      </c>
      <c r="AX30" s="65" t="str">
        <f t="shared" si="24"/>
        <v>hod</v>
      </c>
      <c r="AY30" s="65"/>
      <c r="AZ30" s="69">
        <f t="shared" si="52"/>
        <v>600</v>
      </c>
      <c r="BA30" s="70">
        <f t="shared" si="25"/>
        <v>0</v>
      </c>
      <c r="BC30" s="68">
        <f t="shared" si="26"/>
        <v>0</v>
      </c>
      <c r="BD30" s="65" t="str">
        <f t="shared" si="27"/>
        <v>hod</v>
      </c>
      <c r="BE30" s="65"/>
      <c r="BF30" s="69">
        <f t="shared" si="53"/>
        <v>600</v>
      </c>
      <c r="BG30" s="70">
        <f t="shared" si="28"/>
        <v>0</v>
      </c>
      <c r="BI30" s="68">
        <f t="shared" si="29"/>
        <v>0</v>
      </c>
      <c r="BJ30" s="65" t="str">
        <f t="shared" si="30"/>
        <v>hod</v>
      </c>
      <c r="BK30" s="65"/>
      <c r="BL30" s="69">
        <f t="shared" si="54"/>
        <v>800</v>
      </c>
      <c r="BM30" s="70">
        <f t="shared" si="31"/>
        <v>0</v>
      </c>
      <c r="BO30" s="68">
        <f t="shared" si="32"/>
        <v>0</v>
      </c>
      <c r="BP30" s="65" t="str">
        <f t="shared" si="33"/>
        <v>hod</v>
      </c>
      <c r="BQ30" s="65"/>
      <c r="BR30" s="69">
        <f t="shared" si="55"/>
        <v>650</v>
      </c>
      <c r="BS30" s="70">
        <f t="shared" si="34"/>
        <v>0</v>
      </c>
      <c r="BU30" s="68">
        <f t="shared" si="35"/>
        <v>0</v>
      </c>
      <c r="BV30" s="65" t="str">
        <f t="shared" si="36"/>
        <v>hod</v>
      </c>
      <c r="BW30" s="65"/>
      <c r="BX30" s="69">
        <f t="shared" si="56"/>
        <v>950</v>
      </c>
      <c r="BY30" s="70">
        <f t="shared" si="37"/>
        <v>0</v>
      </c>
      <c r="CA30" s="68">
        <f t="shared" si="38"/>
        <v>0</v>
      </c>
      <c r="CB30" s="65" t="str">
        <f t="shared" si="39"/>
        <v>hod</v>
      </c>
      <c r="CC30" s="65"/>
      <c r="CD30" s="69">
        <f t="shared" si="57"/>
        <v>600</v>
      </c>
      <c r="CE30" s="70">
        <f t="shared" si="40"/>
        <v>0</v>
      </c>
      <c r="CG30" s="68">
        <f t="shared" si="41"/>
        <v>0</v>
      </c>
      <c r="CH30" s="69">
        <f t="shared" si="58"/>
        <v>0</v>
      </c>
      <c r="CI30" s="85">
        <f t="shared" si="59"/>
        <v>0</v>
      </c>
    </row>
    <row r="31" ht="12.75" customHeight="1">
      <c r="A31" s="68">
        <v>0.0</v>
      </c>
      <c r="B31" s="65" t="s">
        <v>86</v>
      </c>
      <c r="C31" s="65"/>
      <c r="D31" s="69">
        <f t="shared" si="42"/>
        <v>500</v>
      </c>
      <c r="E31" s="70">
        <f t="shared" si="3"/>
        <v>0</v>
      </c>
      <c r="G31" s="68">
        <f t="shared" ref="G31:H31" si="108">A31</f>
        <v>0</v>
      </c>
      <c r="H31" s="65" t="str">
        <f t="shared" si="108"/>
        <v>hod</v>
      </c>
      <c r="I31" s="65"/>
      <c r="J31" s="69">
        <f t="shared" si="44"/>
        <v>400</v>
      </c>
      <c r="K31" s="70">
        <f t="shared" si="5"/>
        <v>0</v>
      </c>
      <c r="M31" s="68">
        <f t="shared" si="6"/>
        <v>0</v>
      </c>
      <c r="N31" s="65" t="str">
        <f t="shared" si="7"/>
        <v>hod</v>
      </c>
      <c r="O31" s="65"/>
      <c r="P31" s="69">
        <f t="shared" si="45"/>
        <v>700</v>
      </c>
      <c r="Q31" s="70">
        <f t="shared" si="8"/>
        <v>0</v>
      </c>
      <c r="S31" s="68">
        <f t="shared" si="9"/>
        <v>0</v>
      </c>
      <c r="T31" s="65" t="str">
        <f t="shared" si="10"/>
        <v>hod</v>
      </c>
      <c r="U31" s="65"/>
      <c r="V31" s="69">
        <f t="shared" si="46"/>
        <v>650</v>
      </c>
      <c r="W31" s="70">
        <f t="shared" si="11"/>
        <v>0</v>
      </c>
      <c r="Y31" s="68">
        <f t="shared" si="12"/>
        <v>0</v>
      </c>
      <c r="Z31" s="65" t="str">
        <f t="shared" si="13"/>
        <v>hod</v>
      </c>
      <c r="AA31" s="65"/>
      <c r="AB31" s="69">
        <f t="shared" si="47"/>
        <v>650</v>
      </c>
      <c r="AC31" s="70">
        <f t="shared" si="14"/>
        <v>0</v>
      </c>
      <c r="AE31" s="68">
        <f t="shared" si="15"/>
        <v>0</v>
      </c>
      <c r="AF31" s="65" t="str">
        <f t="shared" si="16"/>
        <v>hod</v>
      </c>
      <c r="AG31" s="65"/>
      <c r="AH31" s="69">
        <f t="shared" si="48"/>
        <v>700</v>
      </c>
      <c r="AI31" s="70">
        <f t="shared" si="17"/>
        <v>0</v>
      </c>
      <c r="AK31" s="68">
        <f t="shared" si="18"/>
        <v>0</v>
      </c>
      <c r="AL31" s="65" t="str">
        <f t="shared" si="19"/>
        <v>hod</v>
      </c>
      <c r="AM31" s="65"/>
      <c r="AN31" s="69">
        <f t="shared" si="49"/>
        <v>600</v>
      </c>
      <c r="AO31" s="70">
        <f t="shared" si="20"/>
        <v>0</v>
      </c>
      <c r="AQ31" s="68">
        <f t="shared" ref="AQ31:AR31" si="109">AK31</f>
        <v>0</v>
      </c>
      <c r="AR31" s="65" t="str">
        <f t="shared" si="109"/>
        <v>hod</v>
      </c>
      <c r="AS31" s="65"/>
      <c r="AT31" s="69">
        <f t="shared" si="51"/>
        <v>600</v>
      </c>
      <c r="AU31" s="70">
        <f t="shared" si="22"/>
        <v>0</v>
      </c>
      <c r="AW31" s="68">
        <f t="shared" si="23"/>
        <v>0</v>
      </c>
      <c r="AX31" s="65" t="str">
        <f t="shared" si="24"/>
        <v>hod</v>
      </c>
      <c r="AY31" s="65"/>
      <c r="AZ31" s="69">
        <f t="shared" si="52"/>
        <v>600</v>
      </c>
      <c r="BA31" s="70">
        <f t="shared" si="25"/>
        <v>0</v>
      </c>
      <c r="BC31" s="68">
        <f t="shared" si="26"/>
        <v>0</v>
      </c>
      <c r="BD31" s="65" t="str">
        <f t="shared" si="27"/>
        <v>hod</v>
      </c>
      <c r="BE31" s="65"/>
      <c r="BF31" s="69">
        <f t="shared" si="53"/>
        <v>600</v>
      </c>
      <c r="BG31" s="70">
        <f t="shared" si="28"/>
        <v>0</v>
      </c>
      <c r="BI31" s="68">
        <f t="shared" si="29"/>
        <v>0</v>
      </c>
      <c r="BJ31" s="65" t="str">
        <f t="shared" si="30"/>
        <v>hod</v>
      </c>
      <c r="BK31" s="65"/>
      <c r="BL31" s="69">
        <f t="shared" si="54"/>
        <v>800</v>
      </c>
      <c r="BM31" s="70">
        <f t="shared" si="31"/>
        <v>0</v>
      </c>
      <c r="BO31" s="68">
        <f t="shared" si="32"/>
        <v>0</v>
      </c>
      <c r="BP31" s="65" t="str">
        <f t="shared" si="33"/>
        <v>hod</v>
      </c>
      <c r="BQ31" s="65"/>
      <c r="BR31" s="69">
        <f t="shared" si="55"/>
        <v>650</v>
      </c>
      <c r="BS31" s="70">
        <f t="shared" si="34"/>
        <v>0</v>
      </c>
      <c r="BU31" s="68">
        <f t="shared" si="35"/>
        <v>0</v>
      </c>
      <c r="BV31" s="65" t="str">
        <f t="shared" si="36"/>
        <v>hod</v>
      </c>
      <c r="BW31" s="65"/>
      <c r="BX31" s="69">
        <f t="shared" si="56"/>
        <v>950</v>
      </c>
      <c r="BY31" s="70">
        <f t="shared" si="37"/>
        <v>0</v>
      </c>
      <c r="CA31" s="68">
        <f t="shared" si="38"/>
        <v>0</v>
      </c>
      <c r="CB31" s="65" t="str">
        <f t="shared" si="39"/>
        <v>hod</v>
      </c>
      <c r="CC31" s="65"/>
      <c r="CD31" s="69">
        <f t="shared" si="57"/>
        <v>600</v>
      </c>
      <c r="CE31" s="70">
        <f t="shared" si="40"/>
        <v>0</v>
      </c>
      <c r="CG31" s="68">
        <f t="shared" si="41"/>
        <v>0</v>
      </c>
      <c r="CH31" s="69">
        <f t="shared" si="58"/>
        <v>0</v>
      </c>
      <c r="CI31" s="85">
        <f t="shared" si="59"/>
        <v>0</v>
      </c>
    </row>
    <row r="32" ht="12.75" customHeight="1">
      <c r="A32" s="68">
        <v>0.0</v>
      </c>
      <c r="B32" s="65" t="s">
        <v>86</v>
      </c>
      <c r="C32" s="65"/>
      <c r="D32" s="69">
        <f t="shared" si="42"/>
        <v>500</v>
      </c>
      <c r="E32" s="70">
        <f t="shared" si="3"/>
        <v>0</v>
      </c>
      <c r="G32" s="68">
        <f t="shared" ref="G32:H32" si="110">A32</f>
        <v>0</v>
      </c>
      <c r="H32" s="65" t="str">
        <f t="shared" si="110"/>
        <v>hod</v>
      </c>
      <c r="I32" s="65"/>
      <c r="J32" s="69">
        <f t="shared" si="44"/>
        <v>400</v>
      </c>
      <c r="K32" s="70">
        <f t="shared" si="5"/>
        <v>0</v>
      </c>
      <c r="M32" s="68">
        <f t="shared" si="6"/>
        <v>0</v>
      </c>
      <c r="N32" s="65" t="str">
        <f t="shared" si="7"/>
        <v>hod</v>
      </c>
      <c r="O32" s="65"/>
      <c r="P32" s="69">
        <f t="shared" si="45"/>
        <v>700</v>
      </c>
      <c r="Q32" s="70">
        <f t="shared" si="8"/>
        <v>0</v>
      </c>
      <c r="S32" s="68">
        <f t="shared" si="9"/>
        <v>0</v>
      </c>
      <c r="T32" s="65" t="str">
        <f t="shared" si="10"/>
        <v>hod</v>
      </c>
      <c r="U32" s="65"/>
      <c r="V32" s="69">
        <f t="shared" si="46"/>
        <v>650</v>
      </c>
      <c r="W32" s="70">
        <f t="shared" si="11"/>
        <v>0</v>
      </c>
      <c r="Y32" s="68">
        <f t="shared" si="12"/>
        <v>0</v>
      </c>
      <c r="Z32" s="65" t="str">
        <f t="shared" si="13"/>
        <v>hod</v>
      </c>
      <c r="AA32" s="65"/>
      <c r="AB32" s="69">
        <f t="shared" si="47"/>
        <v>650</v>
      </c>
      <c r="AC32" s="70">
        <f t="shared" si="14"/>
        <v>0</v>
      </c>
      <c r="AE32" s="68">
        <f t="shared" si="15"/>
        <v>0</v>
      </c>
      <c r="AF32" s="65" t="str">
        <f t="shared" si="16"/>
        <v>hod</v>
      </c>
      <c r="AG32" s="65"/>
      <c r="AH32" s="69">
        <f t="shared" si="48"/>
        <v>700</v>
      </c>
      <c r="AI32" s="70">
        <f t="shared" si="17"/>
        <v>0</v>
      </c>
      <c r="AK32" s="68">
        <f t="shared" si="18"/>
        <v>0</v>
      </c>
      <c r="AL32" s="65" t="str">
        <f t="shared" si="19"/>
        <v>hod</v>
      </c>
      <c r="AM32" s="65"/>
      <c r="AN32" s="69">
        <f t="shared" si="49"/>
        <v>600</v>
      </c>
      <c r="AO32" s="70">
        <f t="shared" si="20"/>
        <v>0</v>
      </c>
      <c r="AQ32" s="68">
        <f t="shared" ref="AQ32:AR32" si="111">AK32</f>
        <v>0</v>
      </c>
      <c r="AR32" s="65" t="str">
        <f t="shared" si="111"/>
        <v>hod</v>
      </c>
      <c r="AS32" s="65"/>
      <c r="AT32" s="69">
        <f t="shared" si="51"/>
        <v>600</v>
      </c>
      <c r="AU32" s="70">
        <f t="shared" si="22"/>
        <v>0</v>
      </c>
      <c r="AW32" s="68">
        <f t="shared" si="23"/>
        <v>0</v>
      </c>
      <c r="AX32" s="65" t="str">
        <f t="shared" si="24"/>
        <v>hod</v>
      </c>
      <c r="AY32" s="65"/>
      <c r="AZ32" s="69">
        <f t="shared" si="52"/>
        <v>600</v>
      </c>
      <c r="BA32" s="70">
        <f t="shared" si="25"/>
        <v>0</v>
      </c>
      <c r="BC32" s="68">
        <f t="shared" si="26"/>
        <v>0</v>
      </c>
      <c r="BD32" s="65" t="str">
        <f t="shared" si="27"/>
        <v>hod</v>
      </c>
      <c r="BE32" s="65"/>
      <c r="BF32" s="69">
        <f t="shared" si="53"/>
        <v>600</v>
      </c>
      <c r="BG32" s="70">
        <f t="shared" si="28"/>
        <v>0</v>
      </c>
      <c r="BI32" s="68">
        <f t="shared" si="29"/>
        <v>0</v>
      </c>
      <c r="BJ32" s="65" t="str">
        <f t="shared" si="30"/>
        <v>hod</v>
      </c>
      <c r="BK32" s="65"/>
      <c r="BL32" s="69">
        <f t="shared" si="54"/>
        <v>800</v>
      </c>
      <c r="BM32" s="70">
        <f t="shared" si="31"/>
        <v>0</v>
      </c>
      <c r="BO32" s="68">
        <f t="shared" si="32"/>
        <v>0</v>
      </c>
      <c r="BP32" s="65" t="str">
        <f t="shared" si="33"/>
        <v>hod</v>
      </c>
      <c r="BQ32" s="65"/>
      <c r="BR32" s="69">
        <f t="shared" si="55"/>
        <v>650</v>
      </c>
      <c r="BS32" s="70">
        <f t="shared" si="34"/>
        <v>0</v>
      </c>
      <c r="BU32" s="68">
        <f t="shared" si="35"/>
        <v>0</v>
      </c>
      <c r="BV32" s="65" t="str">
        <f t="shared" si="36"/>
        <v>hod</v>
      </c>
      <c r="BW32" s="65"/>
      <c r="BX32" s="69">
        <f t="shared" si="56"/>
        <v>950</v>
      </c>
      <c r="BY32" s="70">
        <f t="shared" si="37"/>
        <v>0</v>
      </c>
      <c r="CA32" s="68">
        <f t="shared" si="38"/>
        <v>0</v>
      </c>
      <c r="CB32" s="65" t="str">
        <f t="shared" si="39"/>
        <v>hod</v>
      </c>
      <c r="CC32" s="65"/>
      <c r="CD32" s="69">
        <f t="shared" si="57"/>
        <v>600</v>
      </c>
      <c r="CE32" s="70">
        <f t="shared" si="40"/>
        <v>0</v>
      </c>
      <c r="CG32" s="68">
        <f t="shared" si="41"/>
        <v>0</v>
      </c>
      <c r="CH32" s="69">
        <f t="shared" si="58"/>
        <v>0</v>
      </c>
      <c r="CI32" s="85">
        <f t="shared" si="59"/>
        <v>0</v>
      </c>
    </row>
    <row r="33" ht="12.75" customHeight="1">
      <c r="A33" s="68">
        <v>0.0</v>
      </c>
      <c r="B33" s="65" t="s">
        <v>86</v>
      </c>
      <c r="C33" s="65"/>
      <c r="D33" s="69">
        <f t="shared" si="42"/>
        <v>500</v>
      </c>
      <c r="E33" s="70">
        <f t="shared" si="3"/>
        <v>0</v>
      </c>
      <c r="G33" s="68">
        <f t="shared" ref="G33:H33" si="112">A33</f>
        <v>0</v>
      </c>
      <c r="H33" s="65" t="str">
        <f t="shared" si="112"/>
        <v>hod</v>
      </c>
      <c r="I33" s="65"/>
      <c r="J33" s="69">
        <f t="shared" si="44"/>
        <v>400</v>
      </c>
      <c r="K33" s="70">
        <f t="shared" si="5"/>
        <v>0</v>
      </c>
      <c r="M33" s="68">
        <f t="shared" si="6"/>
        <v>0</v>
      </c>
      <c r="N33" s="65" t="str">
        <f t="shared" si="7"/>
        <v>hod</v>
      </c>
      <c r="O33" s="65"/>
      <c r="P33" s="69">
        <f t="shared" si="45"/>
        <v>700</v>
      </c>
      <c r="Q33" s="70">
        <f t="shared" si="8"/>
        <v>0</v>
      </c>
      <c r="S33" s="68">
        <f t="shared" si="9"/>
        <v>0</v>
      </c>
      <c r="T33" s="65" t="str">
        <f t="shared" si="10"/>
        <v>hod</v>
      </c>
      <c r="U33" s="65"/>
      <c r="V33" s="69">
        <f t="shared" si="46"/>
        <v>650</v>
      </c>
      <c r="W33" s="70">
        <f t="shared" si="11"/>
        <v>0</v>
      </c>
      <c r="Y33" s="68">
        <f t="shared" si="12"/>
        <v>0</v>
      </c>
      <c r="Z33" s="65" t="str">
        <f t="shared" si="13"/>
        <v>hod</v>
      </c>
      <c r="AA33" s="65"/>
      <c r="AB33" s="69">
        <f t="shared" si="47"/>
        <v>650</v>
      </c>
      <c r="AC33" s="70">
        <f t="shared" si="14"/>
        <v>0</v>
      </c>
      <c r="AE33" s="68">
        <f t="shared" si="15"/>
        <v>0</v>
      </c>
      <c r="AF33" s="65" t="str">
        <f t="shared" si="16"/>
        <v>hod</v>
      </c>
      <c r="AG33" s="65"/>
      <c r="AH33" s="69">
        <f t="shared" si="48"/>
        <v>700</v>
      </c>
      <c r="AI33" s="70">
        <f t="shared" si="17"/>
        <v>0</v>
      </c>
      <c r="AK33" s="68">
        <f t="shared" si="18"/>
        <v>0</v>
      </c>
      <c r="AL33" s="65" t="str">
        <f t="shared" si="19"/>
        <v>hod</v>
      </c>
      <c r="AM33" s="65"/>
      <c r="AN33" s="69">
        <f t="shared" si="49"/>
        <v>600</v>
      </c>
      <c r="AO33" s="70">
        <f t="shared" si="20"/>
        <v>0</v>
      </c>
      <c r="AQ33" s="68">
        <f t="shared" ref="AQ33:AR33" si="113">AK33</f>
        <v>0</v>
      </c>
      <c r="AR33" s="65" t="str">
        <f t="shared" si="113"/>
        <v>hod</v>
      </c>
      <c r="AS33" s="65"/>
      <c r="AT33" s="69">
        <f t="shared" si="51"/>
        <v>600</v>
      </c>
      <c r="AU33" s="70">
        <f t="shared" si="22"/>
        <v>0</v>
      </c>
      <c r="AW33" s="68">
        <f t="shared" si="23"/>
        <v>0</v>
      </c>
      <c r="AX33" s="65" t="str">
        <f t="shared" si="24"/>
        <v>hod</v>
      </c>
      <c r="AY33" s="65"/>
      <c r="AZ33" s="69">
        <f t="shared" si="52"/>
        <v>600</v>
      </c>
      <c r="BA33" s="70">
        <f t="shared" si="25"/>
        <v>0</v>
      </c>
      <c r="BC33" s="68">
        <f t="shared" si="26"/>
        <v>0</v>
      </c>
      <c r="BD33" s="65" t="str">
        <f t="shared" si="27"/>
        <v>hod</v>
      </c>
      <c r="BE33" s="65"/>
      <c r="BF33" s="69">
        <f t="shared" si="53"/>
        <v>600</v>
      </c>
      <c r="BG33" s="70">
        <f t="shared" si="28"/>
        <v>0</v>
      </c>
      <c r="BI33" s="68">
        <f t="shared" si="29"/>
        <v>0</v>
      </c>
      <c r="BJ33" s="65" t="str">
        <f t="shared" si="30"/>
        <v>hod</v>
      </c>
      <c r="BK33" s="65"/>
      <c r="BL33" s="69">
        <f t="shared" si="54"/>
        <v>800</v>
      </c>
      <c r="BM33" s="70">
        <f t="shared" si="31"/>
        <v>0</v>
      </c>
      <c r="BO33" s="68">
        <f t="shared" si="32"/>
        <v>0</v>
      </c>
      <c r="BP33" s="65" t="str">
        <f t="shared" si="33"/>
        <v>hod</v>
      </c>
      <c r="BQ33" s="65"/>
      <c r="BR33" s="69">
        <f t="shared" si="55"/>
        <v>650</v>
      </c>
      <c r="BS33" s="70">
        <f t="shared" si="34"/>
        <v>0</v>
      </c>
      <c r="BU33" s="68">
        <f t="shared" si="35"/>
        <v>0</v>
      </c>
      <c r="BV33" s="65" t="str">
        <f t="shared" si="36"/>
        <v>hod</v>
      </c>
      <c r="BW33" s="65"/>
      <c r="BX33" s="69">
        <f t="shared" si="56"/>
        <v>950</v>
      </c>
      <c r="BY33" s="70">
        <f t="shared" si="37"/>
        <v>0</v>
      </c>
      <c r="CA33" s="68">
        <f t="shared" si="38"/>
        <v>0</v>
      </c>
      <c r="CB33" s="65" t="str">
        <f t="shared" si="39"/>
        <v>hod</v>
      </c>
      <c r="CC33" s="65"/>
      <c r="CD33" s="69">
        <f t="shared" si="57"/>
        <v>600</v>
      </c>
      <c r="CE33" s="70">
        <f t="shared" si="40"/>
        <v>0</v>
      </c>
      <c r="CG33" s="68">
        <f t="shared" si="41"/>
        <v>0</v>
      </c>
      <c r="CH33" s="69">
        <f t="shared" si="58"/>
        <v>0</v>
      </c>
      <c r="CI33" s="85">
        <f t="shared" si="59"/>
        <v>0</v>
      </c>
    </row>
    <row r="34" ht="12.75" customHeight="1">
      <c r="A34" s="68">
        <v>0.0</v>
      </c>
      <c r="B34" s="65" t="s">
        <v>86</v>
      </c>
      <c r="C34" s="65"/>
      <c r="D34" s="69">
        <f t="shared" si="42"/>
        <v>500</v>
      </c>
      <c r="E34" s="70">
        <f t="shared" si="3"/>
        <v>0</v>
      </c>
      <c r="G34" s="68">
        <f t="shared" ref="G34:H34" si="114">A34</f>
        <v>0</v>
      </c>
      <c r="H34" s="65" t="str">
        <f t="shared" si="114"/>
        <v>hod</v>
      </c>
      <c r="I34" s="65"/>
      <c r="J34" s="69">
        <f t="shared" si="44"/>
        <v>400</v>
      </c>
      <c r="K34" s="70">
        <f t="shared" si="5"/>
        <v>0</v>
      </c>
      <c r="M34" s="68">
        <f t="shared" si="6"/>
        <v>0</v>
      </c>
      <c r="N34" s="65" t="str">
        <f t="shared" si="7"/>
        <v>hod</v>
      </c>
      <c r="O34" s="65"/>
      <c r="P34" s="69">
        <f t="shared" si="45"/>
        <v>700</v>
      </c>
      <c r="Q34" s="70">
        <f t="shared" si="8"/>
        <v>0</v>
      </c>
      <c r="S34" s="68">
        <f t="shared" si="9"/>
        <v>0</v>
      </c>
      <c r="T34" s="65" t="str">
        <f t="shared" si="10"/>
        <v>hod</v>
      </c>
      <c r="U34" s="65"/>
      <c r="V34" s="69">
        <f t="shared" si="46"/>
        <v>650</v>
      </c>
      <c r="W34" s="70">
        <f t="shared" si="11"/>
        <v>0</v>
      </c>
      <c r="Y34" s="68">
        <f t="shared" si="12"/>
        <v>0</v>
      </c>
      <c r="Z34" s="65" t="str">
        <f t="shared" si="13"/>
        <v>hod</v>
      </c>
      <c r="AA34" s="65"/>
      <c r="AB34" s="69">
        <f t="shared" si="47"/>
        <v>650</v>
      </c>
      <c r="AC34" s="70">
        <f t="shared" si="14"/>
        <v>0</v>
      </c>
      <c r="AE34" s="68">
        <f t="shared" si="15"/>
        <v>0</v>
      </c>
      <c r="AF34" s="65" t="str">
        <f t="shared" si="16"/>
        <v>hod</v>
      </c>
      <c r="AG34" s="65"/>
      <c r="AH34" s="69">
        <f t="shared" si="48"/>
        <v>700</v>
      </c>
      <c r="AI34" s="70">
        <f t="shared" si="17"/>
        <v>0</v>
      </c>
      <c r="AK34" s="68">
        <f t="shared" si="18"/>
        <v>0</v>
      </c>
      <c r="AL34" s="65" t="str">
        <f t="shared" si="19"/>
        <v>hod</v>
      </c>
      <c r="AM34" s="65"/>
      <c r="AN34" s="69">
        <f t="shared" si="49"/>
        <v>600</v>
      </c>
      <c r="AO34" s="70">
        <f t="shared" si="20"/>
        <v>0</v>
      </c>
      <c r="AQ34" s="68">
        <f t="shared" ref="AQ34:AR34" si="115">AK34</f>
        <v>0</v>
      </c>
      <c r="AR34" s="65" t="str">
        <f t="shared" si="115"/>
        <v>hod</v>
      </c>
      <c r="AS34" s="65"/>
      <c r="AT34" s="69">
        <f t="shared" si="51"/>
        <v>600</v>
      </c>
      <c r="AU34" s="70">
        <f t="shared" si="22"/>
        <v>0</v>
      </c>
      <c r="AW34" s="68">
        <f t="shared" si="23"/>
        <v>0</v>
      </c>
      <c r="AX34" s="65" t="str">
        <f t="shared" si="24"/>
        <v>hod</v>
      </c>
      <c r="AY34" s="65"/>
      <c r="AZ34" s="69">
        <f t="shared" si="52"/>
        <v>600</v>
      </c>
      <c r="BA34" s="70">
        <f t="shared" si="25"/>
        <v>0</v>
      </c>
      <c r="BC34" s="68">
        <f t="shared" si="26"/>
        <v>0</v>
      </c>
      <c r="BD34" s="65" t="str">
        <f t="shared" si="27"/>
        <v>hod</v>
      </c>
      <c r="BE34" s="65"/>
      <c r="BF34" s="69">
        <f t="shared" si="53"/>
        <v>600</v>
      </c>
      <c r="BG34" s="70">
        <f t="shared" si="28"/>
        <v>0</v>
      </c>
      <c r="BI34" s="68">
        <f t="shared" si="29"/>
        <v>0</v>
      </c>
      <c r="BJ34" s="65" t="str">
        <f t="shared" si="30"/>
        <v>hod</v>
      </c>
      <c r="BK34" s="65"/>
      <c r="BL34" s="69">
        <f t="shared" si="54"/>
        <v>800</v>
      </c>
      <c r="BM34" s="70">
        <f t="shared" si="31"/>
        <v>0</v>
      </c>
      <c r="BO34" s="68">
        <f t="shared" si="32"/>
        <v>0</v>
      </c>
      <c r="BP34" s="65" t="str">
        <f t="shared" si="33"/>
        <v>hod</v>
      </c>
      <c r="BQ34" s="65"/>
      <c r="BR34" s="69">
        <f t="shared" si="55"/>
        <v>650</v>
      </c>
      <c r="BS34" s="70">
        <f t="shared" si="34"/>
        <v>0</v>
      </c>
      <c r="BU34" s="68">
        <f t="shared" si="35"/>
        <v>0</v>
      </c>
      <c r="BV34" s="65" t="str">
        <f t="shared" si="36"/>
        <v>hod</v>
      </c>
      <c r="BW34" s="65"/>
      <c r="BX34" s="69">
        <f t="shared" si="56"/>
        <v>950</v>
      </c>
      <c r="BY34" s="70">
        <f t="shared" si="37"/>
        <v>0</v>
      </c>
      <c r="CA34" s="68">
        <f t="shared" si="38"/>
        <v>0</v>
      </c>
      <c r="CB34" s="65" t="str">
        <f t="shared" si="39"/>
        <v>hod</v>
      </c>
      <c r="CC34" s="65"/>
      <c r="CD34" s="69">
        <f t="shared" si="57"/>
        <v>600</v>
      </c>
      <c r="CE34" s="70">
        <f t="shared" si="40"/>
        <v>0</v>
      </c>
      <c r="CG34" s="68">
        <f t="shared" si="41"/>
        <v>0</v>
      </c>
      <c r="CH34" s="69">
        <f t="shared" si="58"/>
        <v>0</v>
      </c>
      <c r="CI34" s="85">
        <f t="shared" si="59"/>
        <v>0</v>
      </c>
    </row>
    <row r="35" ht="12.75" customHeight="1">
      <c r="A35" s="68">
        <v>0.0</v>
      </c>
      <c r="B35" s="65" t="s">
        <v>86</v>
      </c>
      <c r="C35" s="65"/>
      <c r="D35" s="69">
        <f t="shared" si="42"/>
        <v>500</v>
      </c>
      <c r="E35" s="70">
        <f t="shared" si="3"/>
        <v>0</v>
      </c>
      <c r="G35" s="68">
        <f t="shared" ref="G35:H35" si="116">A35</f>
        <v>0</v>
      </c>
      <c r="H35" s="65" t="str">
        <f t="shared" si="116"/>
        <v>hod</v>
      </c>
      <c r="I35" s="65"/>
      <c r="J35" s="69">
        <f t="shared" si="44"/>
        <v>400</v>
      </c>
      <c r="K35" s="70">
        <f t="shared" si="5"/>
        <v>0</v>
      </c>
      <c r="M35" s="68">
        <f t="shared" si="6"/>
        <v>0</v>
      </c>
      <c r="N35" s="65" t="str">
        <f t="shared" si="7"/>
        <v>hod</v>
      </c>
      <c r="O35" s="65"/>
      <c r="P35" s="69">
        <f t="shared" si="45"/>
        <v>700</v>
      </c>
      <c r="Q35" s="70">
        <f t="shared" si="8"/>
        <v>0</v>
      </c>
      <c r="S35" s="68">
        <f t="shared" si="9"/>
        <v>0</v>
      </c>
      <c r="T35" s="65" t="str">
        <f t="shared" si="10"/>
        <v>hod</v>
      </c>
      <c r="U35" s="65"/>
      <c r="V35" s="69">
        <f t="shared" si="46"/>
        <v>650</v>
      </c>
      <c r="W35" s="70">
        <f t="shared" si="11"/>
        <v>0</v>
      </c>
      <c r="Y35" s="68">
        <f t="shared" si="12"/>
        <v>0</v>
      </c>
      <c r="Z35" s="65" t="str">
        <f t="shared" si="13"/>
        <v>hod</v>
      </c>
      <c r="AA35" s="65"/>
      <c r="AB35" s="69">
        <f t="shared" si="47"/>
        <v>650</v>
      </c>
      <c r="AC35" s="70">
        <f t="shared" si="14"/>
        <v>0</v>
      </c>
      <c r="AE35" s="68">
        <f t="shared" si="15"/>
        <v>0</v>
      </c>
      <c r="AF35" s="65" t="str">
        <f t="shared" si="16"/>
        <v>hod</v>
      </c>
      <c r="AG35" s="65"/>
      <c r="AH35" s="69">
        <f t="shared" si="48"/>
        <v>700</v>
      </c>
      <c r="AI35" s="70">
        <f t="shared" si="17"/>
        <v>0</v>
      </c>
      <c r="AK35" s="68">
        <f t="shared" si="18"/>
        <v>0</v>
      </c>
      <c r="AL35" s="65" t="str">
        <f t="shared" si="19"/>
        <v>hod</v>
      </c>
      <c r="AM35" s="65"/>
      <c r="AN35" s="69">
        <f t="shared" si="49"/>
        <v>600</v>
      </c>
      <c r="AO35" s="70">
        <f t="shared" si="20"/>
        <v>0</v>
      </c>
      <c r="AQ35" s="68">
        <f t="shared" ref="AQ35:AR35" si="117">AK35</f>
        <v>0</v>
      </c>
      <c r="AR35" s="65" t="str">
        <f t="shared" si="117"/>
        <v>hod</v>
      </c>
      <c r="AS35" s="65"/>
      <c r="AT35" s="69">
        <f t="shared" si="51"/>
        <v>600</v>
      </c>
      <c r="AU35" s="70">
        <f t="shared" si="22"/>
        <v>0</v>
      </c>
      <c r="AW35" s="68">
        <f t="shared" si="23"/>
        <v>0</v>
      </c>
      <c r="AX35" s="65" t="str">
        <f t="shared" si="24"/>
        <v>hod</v>
      </c>
      <c r="AY35" s="65"/>
      <c r="AZ35" s="69">
        <f t="shared" si="52"/>
        <v>600</v>
      </c>
      <c r="BA35" s="70">
        <f t="shared" si="25"/>
        <v>0</v>
      </c>
      <c r="BC35" s="68">
        <f t="shared" si="26"/>
        <v>0</v>
      </c>
      <c r="BD35" s="65" t="str">
        <f t="shared" si="27"/>
        <v>hod</v>
      </c>
      <c r="BE35" s="65"/>
      <c r="BF35" s="69">
        <f t="shared" si="53"/>
        <v>600</v>
      </c>
      <c r="BG35" s="70">
        <f t="shared" si="28"/>
        <v>0</v>
      </c>
      <c r="BI35" s="68">
        <f t="shared" si="29"/>
        <v>0</v>
      </c>
      <c r="BJ35" s="65" t="str">
        <f t="shared" si="30"/>
        <v>hod</v>
      </c>
      <c r="BK35" s="65"/>
      <c r="BL35" s="69">
        <f t="shared" si="54"/>
        <v>800</v>
      </c>
      <c r="BM35" s="70">
        <f t="shared" si="31"/>
        <v>0</v>
      </c>
      <c r="BO35" s="68">
        <f t="shared" si="32"/>
        <v>0</v>
      </c>
      <c r="BP35" s="65" t="str">
        <f t="shared" si="33"/>
        <v>hod</v>
      </c>
      <c r="BQ35" s="65"/>
      <c r="BR35" s="69">
        <f t="shared" si="55"/>
        <v>650</v>
      </c>
      <c r="BS35" s="70">
        <f t="shared" si="34"/>
        <v>0</v>
      </c>
      <c r="BU35" s="68">
        <f t="shared" si="35"/>
        <v>0</v>
      </c>
      <c r="BV35" s="65" t="str">
        <f t="shared" si="36"/>
        <v>hod</v>
      </c>
      <c r="BW35" s="65"/>
      <c r="BX35" s="69">
        <f t="shared" si="56"/>
        <v>950</v>
      </c>
      <c r="BY35" s="70">
        <f t="shared" si="37"/>
        <v>0</v>
      </c>
      <c r="CA35" s="68">
        <f t="shared" si="38"/>
        <v>0</v>
      </c>
      <c r="CB35" s="65" t="str">
        <f t="shared" si="39"/>
        <v>hod</v>
      </c>
      <c r="CC35" s="65"/>
      <c r="CD35" s="69">
        <f t="shared" si="57"/>
        <v>600</v>
      </c>
      <c r="CE35" s="70">
        <f t="shared" si="40"/>
        <v>0</v>
      </c>
      <c r="CG35" s="68">
        <f t="shared" si="41"/>
        <v>0</v>
      </c>
      <c r="CH35" s="69">
        <f t="shared" si="58"/>
        <v>0</v>
      </c>
      <c r="CI35" s="85">
        <f t="shared" si="59"/>
        <v>0</v>
      </c>
    </row>
    <row r="36" ht="12.75" customHeight="1">
      <c r="A36" s="68">
        <v>0.0</v>
      </c>
      <c r="B36" s="65" t="s">
        <v>86</v>
      </c>
      <c r="C36" s="65"/>
      <c r="D36" s="69">
        <f t="shared" si="42"/>
        <v>500</v>
      </c>
      <c r="E36" s="70">
        <f t="shared" si="3"/>
        <v>0</v>
      </c>
      <c r="G36" s="68">
        <f t="shared" ref="G36:H36" si="118">A36</f>
        <v>0</v>
      </c>
      <c r="H36" s="65" t="str">
        <f t="shared" si="118"/>
        <v>hod</v>
      </c>
      <c r="I36" s="65"/>
      <c r="J36" s="69">
        <f t="shared" si="44"/>
        <v>400</v>
      </c>
      <c r="K36" s="70">
        <f t="shared" si="5"/>
        <v>0</v>
      </c>
      <c r="M36" s="68">
        <f t="shared" si="6"/>
        <v>0</v>
      </c>
      <c r="N36" s="65" t="str">
        <f t="shared" si="7"/>
        <v>hod</v>
      </c>
      <c r="O36" s="65"/>
      <c r="P36" s="69">
        <f t="shared" si="45"/>
        <v>700</v>
      </c>
      <c r="Q36" s="70">
        <f t="shared" si="8"/>
        <v>0</v>
      </c>
      <c r="S36" s="68">
        <f t="shared" si="9"/>
        <v>0</v>
      </c>
      <c r="T36" s="65" t="str">
        <f t="shared" si="10"/>
        <v>hod</v>
      </c>
      <c r="U36" s="65"/>
      <c r="V36" s="69">
        <f t="shared" si="46"/>
        <v>650</v>
      </c>
      <c r="W36" s="70">
        <f t="shared" si="11"/>
        <v>0</v>
      </c>
      <c r="Y36" s="68">
        <f t="shared" si="12"/>
        <v>0</v>
      </c>
      <c r="Z36" s="65" t="str">
        <f t="shared" si="13"/>
        <v>hod</v>
      </c>
      <c r="AA36" s="65"/>
      <c r="AB36" s="69">
        <f t="shared" si="47"/>
        <v>650</v>
      </c>
      <c r="AC36" s="70">
        <f t="shared" si="14"/>
        <v>0</v>
      </c>
      <c r="AE36" s="68">
        <f t="shared" si="15"/>
        <v>0</v>
      </c>
      <c r="AF36" s="65" t="str">
        <f t="shared" si="16"/>
        <v>hod</v>
      </c>
      <c r="AG36" s="65"/>
      <c r="AH36" s="69">
        <f t="shared" si="48"/>
        <v>700</v>
      </c>
      <c r="AI36" s="70">
        <f t="shared" si="17"/>
        <v>0</v>
      </c>
      <c r="AK36" s="68">
        <f t="shared" si="18"/>
        <v>0</v>
      </c>
      <c r="AL36" s="65" t="str">
        <f t="shared" si="19"/>
        <v>hod</v>
      </c>
      <c r="AM36" s="65"/>
      <c r="AN36" s="69">
        <f t="shared" si="49"/>
        <v>600</v>
      </c>
      <c r="AO36" s="70">
        <f t="shared" si="20"/>
        <v>0</v>
      </c>
      <c r="AQ36" s="68">
        <f t="shared" ref="AQ36:AR36" si="119">AK36</f>
        <v>0</v>
      </c>
      <c r="AR36" s="65" t="str">
        <f t="shared" si="119"/>
        <v>hod</v>
      </c>
      <c r="AS36" s="65"/>
      <c r="AT36" s="69">
        <f t="shared" si="51"/>
        <v>600</v>
      </c>
      <c r="AU36" s="70">
        <f t="shared" si="22"/>
        <v>0</v>
      </c>
      <c r="AW36" s="68">
        <f t="shared" si="23"/>
        <v>0</v>
      </c>
      <c r="AX36" s="65" t="str">
        <f t="shared" si="24"/>
        <v>hod</v>
      </c>
      <c r="AY36" s="65"/>
      <c r="AZ36" s="69">
        <f t="shared" si="52"/>
        <v>600</v>
      </c>
      <c r="BA36" s="70">
        <f t="shared" si="25"/>
        <v>0</v>
      </c>
      <c r="BC36" s="68">
        <f t="shared" si="26"/>
        <v>0</v>
      </c>
      <c r="BD36" s="65" t="str">
        <f t="shared" si="27"/>
        <v>hod</v>
      </c>
      <c r="BE36" s="65"/>
      <c r="BF36" s="69">
        <f t="shared" si="53"/>
        <v>600</v>
      </c>
      <c r="BG36" s="70">
        <f t="shared" si="28"/>
        <v>0</v>
      </c>
      <c r="BI36" s="68">
        <f t="shared" si="29"/>
        <v>0</v>
      </c>
      <c r="BJ36" s="65" t="str">
        <f t="shared" si="30"/>
        <v>hod</v>
      </c>
      <c r="BK36" s="65"/>
      <c r="BL36" s="69">
        <f t="shared" si="54"/>
        <v>800</v>
      </c>
      <c r="BM36" s="70">
        <f t="shared" si="31"/>
        <v>0</v>
      </c>
      <c r="BO36" s="68">
        <f t="shared" si="32"/>
        <v>0</v>
      </c>
      <c r="BP36" s="65" t="str">
        <f t="shared" si="33"/>
        <v>hod</v>
      </c>
      <c r="BQ36" s="65"/>
      <c r="BR36" s="69">
        <f t="shared" si="55"/>
        <v>650</v>
      </c>
      <c r="BS36" s="70">
        <f t="shared" si="34"/>
        <v>0</v>
      </c>
      <c r="BU36" s="68">
        <f t="shared" si="35"/>
        <v>0</v>
      </c>
      <c r="BV36" s="65" t="str">
        <f t="shared" si="36"/>
        <v>hod</v>
      </c>
      <c r="BW36" s="65"/>
      <c r="BX36" s="69">
        <f t="shared" si="56"/>
        <v>950</v>
      </c>
      <c r="BY36" s="70">
        <f t="shared" si="37"/>
        <v>0</v>
      </c>
      <c r="CA36" s="68">
        <f t="shared" si="38"/>
        <v>0</v>
      </c>
      <c r="CB36" s="65" t="str">
        <f t="shared" si="39"/>
        <v>hod</v>
      </c>
      <c r="CC36" s="65"/>
      <c r="CD36" s="69">
        <f t="shared" si="57"/>
        <v>600</v>
      </c>
      <c r="CE36" s="70">
        <f t="shared" si="40"/>
        <v>0</v>
      </c>
      <c r="CG36" s="68">
        <f t="shared" si="41"/>
        <v>0</v>
      </c>
      <c r="CH36" s="69">
        <f t="shared" si="58"/>
        <v>0</v>
      </c>
      <c r="CI36" s="85">
        <f t="shared" si="59"/>
        <v>0</v>
      </c>
    </row>
    <row r="37" ht="12.75" customHeight="1">
      <c r="A37" s="68">
        <v>0.0</v>
      </c>
      <c r="B37" s="65" t="s">
        <v>86</v>
      </c>
      <c r="C37" s="65"/>
      <c r="D37" s="69">
        <f t="shared" si="42"/>
        <v>500</v>
      </c>
      <c r="E37" s="70">
        <f t="shared" si="3"/>
        <v>0</v>
      </c>
      <c r="G37" s="68">
        <f t="shared" ref="G37:H37" si="120">A37</f>
        <v>0</v>
      </c>
      <c r="H37" s="65" t="str">
        <f t="shared" si="120"/>
        <v>hod</v>
      </c>
      <c r="I37" s="65"/>
      <c r="J37" s="69">
        <f t="shared" si="44"/>
        <v>400</v>
      </c>
      <c r="K37" s="70">
        <f t="shared" si="5"/>
        <v>0</v>
      </c>
      <c r="M37" s="68">
        <f t="shared" si="6"/>
        <v>0</v>
      </c>
      <c r="N37" s="65" t="str">
        <f t="shared" si="7"/>
        <v>hod</v>
      </c>
      <c r="O37" s="65"/>
      <c r="P37" s="69">
        <f t="shared" si="45"/>
        <v>700</v>
      </c>
      <c r="Q37" s="70">
        <f t="shared" si="8"/>
        <v>0</v>
      </c>
      <c r="S37" s="68">
        <f t="shared" si="9"/>
        <v>0</v>
      </c>
      <c r="T37" s="65" t="str">
        <f t="shared" si="10"/>
        <v>hod</v>
      </c>
      <c r="U37" s="65"/>
      <c r="V37" s="69">
        <f t="shared" si="46"/>
        <v>650</v>
      </c>
      <c r="W37" s="70">
        <f t="shared" si="11"/>
        <v>0</v>
      </c>
      <c r="Y37" s="68">
        <f t="shared" si="12"/>
        <v>0</v>
      </c>
      <c r="Z37" s="65" t="str">
        <f t="shared" si="13"/>
        <v>hod</v>
      </c>
      <c r="AA37" s="65"/>
      <c r="AB37" s="69">
        <f t="shared" si="47"/>
        <v>650</v>
      </c>
      <c r="AC37" s="70">
        <f t="shared" si="14"/>
        <v>0</v>
      </c>
      <c r="AE37" s="68">
        <f t="shared" si="15"/>
        <v>0</v>
      </c>
      <c r="AF37" s="65" t="str">
        <f t="shared" si="16"/>
        <v>hod</v>
      </c>
      <c r="AG37" s="65"/>
      <c r="AH37" s="69">
        <f t="shared" si="48"/>
        <v>700</v>
      </c>
      <c r="AI37" s="70">
        <f t="shared" si="17"/>
        <v>0</v>
      </c>
      <c r="AK37" s="68">
        <f t="shared" si="18"/>
        <v>0</v>
      </c>
      <c r="AL37" s="65" t="str">
        <f t="shared" si="19"/>
        <v>hod</v>
      </c>
      <c r="AM37" s="65"/>
      <c r="AN37" s="69">
        <f t="shared" si="49"/>
        <v>600</v>
      </c>
      <c r="AO37" s="70">
        <f t="shared" si="20"/>
        <v>0</v>
      </c>
      <c r="AQ37" s="68">
        <f t="shared" ref="AQ37:AR37" si="121">AK37</f>
        <v>0</v>
      </c>
      <c r="AR37" s="65" t="str">
        <f t="shared" si="121"/>
        <v>hod</v>
      </c>
      <c r="AS37" s="65"/>
      <c r="AT37" s="69">
        <f t="shared" si="51"/>
        <v>600</v>
      </c>
      <c r="AU37" s="70">
        <f t="shared" si="22"/>
        <v>0</v>
      </c>
      <c r="AW37" s="68">
        <f t="shared" si="23"/>
        <v>0</v>
      </c>
      <c r="AX37" s="65" t="str">
        <f t="shared" si="24"/>
        <v>hod</v>
      </c>
      <c r="AY37" s="65"/>
      <c r="AZ37" s="69">
        <f t="shared" si="52"/>
        <v>600</v>
      </c>
      <c r="BA37" s="70">
        <f t="shared" si="25"/>
        <v>0</v>
      </c>
      <c r="BC37" s="68">
        <f t="shared" si="26"/>
        <v>0</v>
      </c>
      <c r="BD37" s="65" t="str">
        <f t="shared" si="27"/>
        <v>hod</v>
      </c>
      <c r="BE37" s="65"/>
      <c r="BF37" s="69">
        <f t="shared" si="53"/>
        <v>600</v>
      </c>
      <c r="BG37" s="70">
        <f t="shared" si="28"/>
        <v>0</v>
      </c>
      <c r="BI37" s="68">
        <f t="shared" si="29"/>
        <v>0</v>
      </c>
      <c r="BJ37" s="65" t="str">
        <f t="shared" si="30"/>
        <v>hod</v>
      </c>
      <c r="BK37" s="65"/>
      <c r="BL37" s="69">
        <f t="shared" si="54"/>
        <v>800</v>
      </c>
      <c r="BM37" s="70">
        <f t="shared" si="31"/>
        <v>0</v>
      </c>
      <c r="BO37" s="68">
        <f t="shared" si="32"/>
        <v>0</v>
      </c>
      <c r="BP37" s="65" t="str">
        <f t="shared" si="33"/>
        <v>hod</v>
      </c>
      <c r="BQ37" s="65"/>
      <c r="BR37" s="69">
        <f t="shared" si="55"/>
        <v>650</v>
      </c>
      <c r="BS37" s="70">
        <f t="shared" si="34"/>
        <v>0</v>
      </c>
      <c r="BU37" s="68">
        <f t="shared" si="35"/>
        <v>0</v>
      </c>
      <c r="BV37" s="65" t="str">
        <f t="shared" si="36"/>
        <v>hod</v>
      </c>
      <c r="BW37" s="65"/>
      <c r="BX37" s="69">
        <f t="shared" si="56"/>
        <v>950</v>
      </c>
      <c r="BY37" s="70">
        <f t="shared" si="37"/>
        <v>0</v>
      </c>
      <c r="CA37" s="68">
        <f t="shared" si="38"/>
        <v>0</v>
      </c>
      <c r="CB37" s="65" t="str">
        <f t="shared" si="39"/>
        <v>hod</v>
      </c>
      <c r="CC37" s="65"/>
      <c r="CD37" s="69">
        <f t="shared" si="57"/>
        <v>600</v>
      </c>
      <c r="CE37" s="70">
        <f t="shared" si="40"/>
        <v>0</v>
      </c>
      <c r="CG37" s="68">
        <f t="shared" si="41"/>
        <v>0</v>
      </c>
      <c r="CH37" s="69">
        <f t="shared" si="58"/>
        <v>0</v>
      </c>
      <c r="CI37" s="85">
        <f t="shared" si="59"/>
        <v>0</v>
      </c>
    </row>
    <row r="38" ht="12.75" customHeight="1">
      <c r="A38" s="68">
        <v>0.0</v>
      </c>
      <c r="B38" s="65" t="s">
        <v>86</v>
      </c>
      <c r="C38" s="65"/>
      <c r="D38" s="69">
        <f t="shared" si="42"/>
        <v>500</v>
      </c>
      <c r="E38" s="70">
        <f t="shared" si="3"/>
        <v>0</v>
      </c>
      <c r="G38" s="68">
        <f t="shared" ref="G38:H38" si="122">A38</f>
        <v>0</v>
      </c>
      <c r="H38" s="65" t="str">
        <f t="shared" si="122"/>
        <v>hod</v>
      </c>
      <c r="I38" s="65"/>
      <c r="J38" s="69">
        <f t="shared" si="44"/>
        <v>400</v>
      </c>
      <c r="K38" s="70">
        <f t="shared" si="5"/>
        <v>0</v>
      </c>
      <c r="M38" s="68">
        <f t="shared" si="6"/>
        <v>0</v>
      </c>
      <c r="N38" s="65" t="str">
        <f t="shared" si="7"/>
        <v>hod</v>
      </c>
      <c r="O38" s="65"/>
      <c r="P38" s="69">
        <f t="shared" si="45"/>
        <v>700</v>
      </c>
      <c r="Q38" s="70">
        <f t="shared" si="8"/>
        <v>0</v>
      </c>
      <c r="S38" s="68">
        <f t="shared" si="9"/>
        <v>0</v>
      </c>
      <c r="T38" s="65" t="str">
        <f t="shared" si="10"/>
        <v>hod</v>
      </c>
      <c r="U38" s="65"/>
      <c r="V38" s="69">
        <f t="shared" si="46"/>
        <v>650</v>
      </c>
      <c r="W38" s="70">
        <f t="shared" si="11"/>
        <v>0</v>
      </c>
      <c r="Y38" s="68">
        <f t="shared" si="12"/>
        <v>0</v>
      </c>
      <c r="Z38" s="65" t="str">
        <f t="shared" si="13"/>
        <v>hod</v>
      </c>
      <c r="AA38" s="65"/>
      <c r="AB38" s="69">
        <f t="shared" si="47"/>
        <v>650</v>
      </c>
      <c r="AC38" s="70">
        <f t="shared" si="14"/>
        <v>0</v>
      </c>
      <c r="AE38" s="68">
        <f t="shared" si="15"/>
        <v>0</v>
      </c>
      <c r="AF38" s="65" t="str">
        <f t="shared" si="16"/>
        <v>hod</v>
      </c>
      <c r="AG38" s="65"/>
      <c r="AH38" s="69">
        <f t="shared" si="48"/>
        <v>700</v>
      </c>
      <c r="AI38" s="70">
        <f t="shared" si="17"/>
        <v>0</v>
      </c>
      <c r="AK38" s="68">
        <f t="shared" si="18"/>
        <v>0</v>
      </c>
      <c r="AL38" s="65" t="str">
        <f t="shared" si="19"/>
        <v>hod</v>
      </c>
      <c r="AM38" s="65"/>
      <c r="AN38" s="69">
        <f t="shared" si="49"/>
        <v>600</v>
      </c>
      <c r="AO38" s="70">
        <f t="shared" si="20"/>
        <v>0</v>
      </c>
      <c r="AQ38" s="68">
        <f t="shared" ref="AQ38:AR38" si="123">AK38</f>
        <v>0</v>
      </c>
      <c r="AR38" s="65" t="str">
        <f t="shared" si="123"/>
        <v>hod</v>
      </c>
      <c r="AS38" s="65"/>
      <c r="AT38" s="69">
        <f t="shared" si="51"/>
        <v>600</v>
      </c>
      <c r="AU38" s="70">
        <f t="shared" si="22"/>
        <v>0</v>
      </c>
      <c r="AW38" s="68">
        <f t="shared" si="23"/>
        <v>0</v>
      </c>
      <c r="AX38" s="65" t="str">
        <f t="shared" si="24"/>
        <v>hod</v>
      </c>
      <c r="AY38" s="65"/>
      <c r="AZ38" s="69">
        <f t="shared" si="52"/>
        <v>600</v>
      </c>
      <c r="BA38" s="70">
        <f t="shared" si="25"/>
        <v>0</v>
      </c>
      <c r="BC38" s="68">
        <f t="shared" si="26"/>
        <v>0</v>
      </c>
      <c r="BD38" s="65" t="str">
        <f t="shared" si="27"/>
        <v>hod</v>
      </c>
      <c r="BE38" s="65"/>
      <c r="BF38" s="69">
        <f t="shared" si="53"/>
        <v>600</v>
      </c>
      <c r="BG38" s="70">
        <f t="shared" si="28"/>
        <v>0</v>
      </c>
      <c r="BI38" s="68">
        <f t="shared" si="29"/>
        <v>0</v>
      </c>
      <c r="BJ38" s="65" t="str">
        <f t="shared" si="30"/>
        <v>hod</v>
      </c>
      <c r="BK38" s="65"/>
      <c r="BL38" s="69">
        <f t="shared" si="54"/>
        <v>800</v>
      </c>
      <c r="BM38" s="70">
        <f t="shared" si="31"/>
        <v>0</v>
      </c>
      <c r="BO38" s="68">
        <f t="shared" si="32"/>
        <v>0</v>
      </c>
      <c r="BP38" s="65" t="str">
        <f t="shared" si="33"/>
        <v>hod</v>
      </c>
      <c r="BQ38" s="65"/>
      <c r="BR38" s="69">
        <f t="shared" si="55"/>
        <v>650</v>
      </c>
      <c r="BS38" s="70">
        <f t="shared" si="34"/>
        <v>0</v>
      </c>
      <c r="BU38" s="68">
        <f t="shared" si="35"/>
        <v>0</v>
      </c>
      <c r="BV38" s="65" t="str">
        <f t="shared" si="36"/>
        <v>hod</v>
      </c>
      <c r="BW38" s="65"/>
      <c r="BX38" s="69">
        <f t="shared" si="56"/>
        <v>950</v>
      </c>
      <c r="BY38" s="70">
        <f t="shared" si="37"/>
        <v>0</v>
      </c>
      <c r="CA38" s="68">
        <f t="shared" si="38"/>
        <v>0</v>
      </c>
      <c r="CB38" s="65" t="str">
        <f t="shared" si="39"/>
        <v>hod</v>
      </c>
      <c r="CC38" s="65"/>
      <c r="CD38" s="69">
        <f t="shared" si="57"/>
        <v>600</v>
      </c>
      <c r="CE38" s="70">
        <f t="shared" si="40"/>
        <v>0</v>
      </c>
      <c r="CG38" s="68">
        <f t="shared" si="41"/>
        <v>0</v>
      </c>
      <c r="CH38" s="69">
        <f t="shared" si="58"/>
        <v>0</v>
      </c>
      <c r="CI38" s="85">
        <f t="shared" si="59"/>
        <v>0</v>
      </c>
    </row>
    <row r="39" ht="12.75" customHeight="1">
      <c r="A39" s="68">
        <v>0.0</v>
      </c>
      <c r="B39" s="65" t="s">
        <v>86</v>
      </c>
      <c r="C39" s="65"/>
      <c r="D39" s="69">
        <f t="shared" si="42"/>
        <v>500</v>
      </c>
      <c r="E39" s="70">
        <f t="shared" si="3"/>
        <v>0</v>
      </c>
      <c r="G39" s="68">
        <f t="shared" ref="G39:H39" si="124">A39</f>
        <v>0</v>
      </c>
      <c r="H39" s="65" t="str">
        <f t="shared" si="124"/>
        <v>hod</v>
      </c>
      <c r="I39" s="65"/>
      <c r="J39" s="69">
        <f t="shared" si="44"/>
        <v>400</v>
      </c>
      <c r="K39" s="70">
        <f t="shared" si="5"/>
        <v>0</v>
      </c>
      <c r="M39" s="68">
        <f t="shared" si="6"/>
        <v>0</v>
      </c>
      <c r="N39" s="65" t="str">
        <f t="shared" si="7"/>
        <v>hod</v>
      </c>
      <c r="O39" s="65"/>
      <c r="P39" s="69">
        <f t="shared" si="45"/>
        <v>700</v>
      </c>
      <c r="Q39" s="70">
        <f t="shared" si="8"/>
        <v>0</v>
      </c>
      <c r="S39" s="68">
        <f t="shared" si="9"/>
        <v>0</v>
      </c>
      <c r="T39" s="65" t="str">
        <f t="shared" si="10"/>
        <v>hod</v>
      </c>
      <c r="U39" s="65"/>
      <c r="V39" s="69">
        <f t="shared" si="46"/>
        <v>650</v>
      </c>
      <c r="W39" s="70">
        <f t="shared" si="11"/>
        <v>0</v>
      </c>
      <c r="Y39" s="68">
        <f t="shared" si="12"/>
        <v>0</v>
      </c>
      <c r="Z39" s="65" t="str">
        <f t="shared" si="13"/>
        <v>hod</v>
      </c>
      <c r="AA39" s="65"/>
      <c r="AB39" s="69">
        <f t="shared" si="47"/>
        <v>650</v>
      </c>
      <c r="AC39" s="70">
        <f t="shared" si="14"/>
        <v>0</v>
      </c>
      <c r="AE39" s="68">
        <f t="shared" si="15"/>
        <v>0</v>
      </c>
      <c r="AF39" s="65" t="str">
        <f t="shared" si="16"/>
        <v>hod</v>
      </c>
      <c r="AG39" s="65"/>
      <c r="AH39" s="69">
        <f t="shared" si="48"/>
        <v>700</v>
      </c>
      <c r="AI39" s="70">
        <f t="shared" si="17"/>
        <v>0</v>
      </c>
      <c r="AK39" s="68">
        <f t="shared" si="18"/>
        <v>0</v>
      </c>
      <c r="AL39" s="65" t="str">
        <f t="shared" si="19"/>
        <v>hod</v>
      </c>
      <c r="AM39" s="65"/>
      <c r="AN39" s="69">
        <f t="shared" si="49"/>
        <v>600</v>
      </c>
      <c r="AO39" s="70">
        <f t="shared" si="20"/>
        <v>0</v>
      </c>
      <c r="AQ39" s="68">
        <f t="shared" ref="AQ39:AR39" si="125">AK39</f>
        <v>0</v>
      </c>
      <c r="AR39" s="65" t="str">
        <f t="shared" si="125"/>
        <v>hod</v>
      </c>
      <c r="AS39" s="65"/>
      <c r="AT39" s="69">
        <f t="shared" si="51"/>
        <v>600</v>
      </c>
      <c r="AU39" s="70">
        <f t="shared" si="22"/>
        <v>0</v>
      </c>
      <c r="AW39" s="68">
        <f t="shared" si="23"/>
        <v>0</v>
      </c>
      <c r="AX39" s="65" t="str">
        <f t="shared" si="24"/>
        <v>hod</v>
      </c>
      <c r="AY39" s="65"/>
      <c r="AZ39" s="69">
        <f t="shared" si="52"/>
        <v>600</v>
      </c>
      <c r="BA39" s="70">
        <f t="shared" si="25"/>
        <v>0</v>
      </c>
      <c r="BC39" s="68">
        <f t="shared" si="26"/>
        <v>0</v>
      </c>
      <c r="BD39" s="65" t="str">
        <f t="shared" si="27"/>
        <v>hod</v>
      </c>
      <c r="BE39" s="65"/>
      <c r="BF39" s="69">
        <f t="shared" si="53"/>
        <v>600</v>
      </c>
      <c r="BG39" s="70">
        <f t="shared" si="28"/>
        <v>0</v>
      </c>
      <c r="BI39" s="68">
        <f t="shared" si="29"/>
        <v>0</v>
      </c>
      <c r="BJ39" s="65" t="str">
        <f t="shared" si="30"/>
        <v>hod</v>
      </c>
      <c r="BK39" s="65"/>
      <c r="BL39" s="69">
        <f t="shared" si="54"/>
        <v>800</v>
      </c>
      <c r="BM39" s="70">
        <f t="shared" si="31"/>
        <v>0</v>
      </c>
      <c r="BO39" s="68">
        <f t="shared" si="32"/>
        <v>0</v>
      </c>
      <c r="BP39" s="65" t="str">
        <f t="shared" si="33"/>
        <v>hod</v>
      </c>
      <c r="BQ39" s="65"/>
      <c r="BR39" s="69">
        <f t="shared" si="55"/>
        <v>650</v>
      </c>
      <c r="BS39" s="70">
        <f t="shared" si="34"/>
        <v>0</v>
      </c>
      <c r="BU39" s="68">
        <f t="shared" si="35"/>
        <v>0</v>
      </c>
      <c r="BV39" s="65" t="str">
        <f t="shared" si="36"/>
        <v>hod</v>
      </c>
      <c r="BW39" s="65"/>
      <c r="BX39" s="69">
        <f t="shared" si="56"/>
        <v>950</v>
      </c>
      <c r="BY39" s="70">
        <f t="shared" si="37"/>
        <v>0</v>
      </c>
      <c r="CA39" s="68">
        <f t="shared" si="38"/>
        <v>0</v>
      </c>
      <c r="CB39" s="65" t="str">
        <f t="shared" si="39"/>
        <v>hod</v>
      </c>
      <c r="CC39" s="65"/>
      <c r="CD39" s="69">
        <f t="shared" si="57"/>
        <v>600</v>
      </c>
      <c r="CE39" s="70">
        <f t="shared" si="40"/>
        <v>0</v>
      </c>
      <c r="CG39" s="68">
        <f t="shared" si="41"/>
        <v>0</v>
      </c>
      <c r="CH39" s="69">
        <f t="shared" si="58"/>
        <v>0</v>
      </c>
      <c r="CI39" s="85">
        <f t="shared" si="59"/>
        <v>0</v>
      </c>
    </row>
    <row r="40" ht="12.75" customHeight="1">
      <c r="A40" s="68">
        <v>0.0</v>
      </c>
      <c r="B40" s="65" t="s">
        <v>86</v>
      </c>
      <c r="C40" s="65"/>
      <c r="D40" s="69">
        <f t="shared" si="42"/>
        <v>500</v>
      </c>
      <c r="E40" s="70">
        <f t="shared" si="3"/>
        <v>0</v>
      </c>
      <c r="G40" s="68">
        <f t="shared" ref="G40:H40" si="126">A40</f>
        <v>0</v>
      </c>
      <c r="H40" s="65" t="str">
        <f t="shared" si="126"/>
        <v>hod</v>
      </c>
      <c r="I40" s="65"/>
      <c r="J40" s="69">
        <f t="shared" si="44"/>
        <v>400</v>
      </c>
      <c r="K40" s="70">
        <f t="shared" si="5"/>
        <v>0</v>
      </c>
      <c r="M40" s="68">
        <f t="shared" si="6"/>
        <v>0</v>
      </c>
      <c r="N40" s="65" t="str">
        <f t="shared" si="7"/>
        <v>hod</v>
      </c>
      <c r="O40" s="65"/>
      <c r="P40" s="69">
        <f t="shared" si="45"/>
        <v>700</v>
      </c>
      <c r="Q40" s="70">
        <f t="shared" si="8"/>
        <v>0</v>
      </c>
      <c r="S40" s="68">
        <f t="shared" si="9"/>
        <v>0</v>
      </c>
      <c r="T40" s="65" t="str">
        <f t="shared" si="10"/>
        <v>hod</v>
      </c>
      <c r="U40" s="65"/>
      <c r="V40" s="69">
        <f t="shared" si="46"/>
        <v>650</v>
      </c>
      <c r="W40" s="70">
        <f t="shared" si="11"/>
        <v>0</v>
      </c>
      <c r="Y40" s="68">
        <f t="shared" si="12"/>
        <v>0</v>
      </c>
      <c r="Z40" s="65" t="str">
        <f t="shared" si="13"/>
        <v>hod</v>
      </c>
      <c r="AA40" s="65"/>
      <c r="AB40" s="69">
        <f t="shared" si="47"/>
        <v>650</v>
      </c>
      <c r="AC40" s="70">
        <f t="shared" si="14"/>
        <v>0</v>
      </c>
      <c r="AE40" s="68">
        <f t="shared" si="15"/>
        <v>0</v>
      </c>
      <c r="AF40" s="65" t="str">
        <f t="shared" si="16"/>
        <v>hod</v>
      </c>
      <c r="AG40" s="65"/>
      <c r="AH40" s="69">
        <f t="shared" si="48"/>
        <v>700</v>
      </c>
      <c r="AI40" s="70">
        <f t="shared" si="17"/>
        <v>0</v>
      </c>
      <c r="AK40" s="68">
        <f t="shared" si="18"/>
        <v>0</v>
      </c>
      <c r="AL40" s="65" t="str">
        <f t="shared" si="19"/>
        <v>hod</v>
      </c>
      <c r="AM40" s="65"/>
      <c r="AN40" s="69">
        <f t="shared" si="49"/>
        <v>600</v>
      </c>
      <c r="AO40" s="70">
        <f t="shared" si="20"/>
        <v>0</v>
      </c>
      <c r="AQ40" s="68">
        <f t="shared" ref="AQ40:AR40" si="127">AK40</f>
        <v>0</v>
      </c>
      <c r="AR40" s="65" t="str">
        <f t="shared" si="127"/>
        <v>hod</v>
      </c>
      <c r="AS40" s="65"/>
      <c r="AT40" s="69">
        <f t="shared" si="51"/>
        <v>600</v>
      </c>
      <c r="AU40" s="70">
        <f t="shared" si="22"/>
        <v>0</v>
      </c>
      <c r="AW40" s="68">
        <f t="shared" si="23"/>
        <v>0</v>
      </c>
      <c r="AX40" s="65" t="str">
        <f t="shared" si="24"/>
        <v>hod</v>
      </c>
      <c r="AY40" s="65"/>
      <c r="AZ40" s="69">
        <f t="shared" si="52"/>
        <v>600</v>
      </c>
      <c r="BA40" s="70">
        <f t="shared" si="25"/>
        <v>0</v>
      </c>
      <c r="BC40" s="68">
        <f t="shared" si="26"/>
        <v>0</v>
      </c>
      <c r="BD40" s="65" t="str">
        <f t="shared" si="27"/>
        <v>hod</v>
      </c>
      <c r="BE40" s="65"/>
      <c r="BF40" s="69">
        <f t="shared" si="53"/>
        <v>600</v>
      </c>
      <c r="BG40" s="70">
        <f t="shared" si="28"/>
        <v>0</v>
      </c>
      <c r="BI40" s="68">
        <f t="shared" si="29"/>
        <v>0</v>
      </c>
      <c r="BJ40" s="65" t="str">
        <f t="shared" si="30"/>
        <v>hod</v>
      </c>
      <c r="BK40" s="65"/>
      <c r="BL40" s="69">
        <f t="shared" si="54"/>
        <v>800</v>
      </c>
      <c r="BM40" s="70">
        <f t="shared" si="31"/>
        <v>0</v>
      </c>
      <c r="BO40" s="68">
        <f t="shared" si="32"/>
        <v>0</v>
      </c>
      <c r="BP40" s="65" t="str">
        <f t="shared" si="33"/>
        <v>hod</v>
      </c>
      <c r="BQ40" s="65"/>
      <c r="BR40" s="69">
        <f t="shared" si="55"/>
        <v>650</v>
      </c>
      <c r="BS40" s="70">
        <f t="shared" si="34"/>
        <v>0</v>
      </c>
      <c r="BU40" s="68">
        <f t="shared" si="35"/>
        <v>0</v>
      </c>
      <c r="BV40" s="65" t="str">
        <f t="shared" si="36"/>
        <v>hod</v>
      </c>
      <c r="BW40" s="65"/>
      <c r="BX40" s="69">
        <f t="shared" si="56"/>
        <v>950</v>
      </c>
      <c r="BY40" s="70">
        <f t="shared" si="37"/>
        <v>0</v>
      </c>
      <c r="CA40" s="68">
        <f t="shared" si="38"/>
        <v>0</v>
      </c>
      <c r="CB40" s="65" t="str">
        <f t="shared" si="39"/>
        <v>hod</v>
      </c>
      <c r="CC40" s="65"/>
      <c r="CD40" s="69">
        <f t="shared" si="57"/>
        <v>600</v>
      </c>
      <c r="CE40" s="70">
        <f t="shared" si="40"/>
        <v>0</v>
      </c>
      <c r="CG40" s="68">
        <f t="shared" si="41"/>
        <v>0</v>
      </c>
      <c r="CH40" s="69">
        <f t="shared" si="58"/>
        <v>0</v>
      </c>
      <c r="CI40" s="85">
        <f t="shared" si="59"/>
        <v>0</v>
      </c>
    </row>
    <row r="41" ht="12.75" customHeight="1">
      <c r="A41" s="68">
        <v>0.0</v>
      </c>
      <c r="B41" s="65" t="s">
        <v>86</v>
      </c>
      <c r="C41" s="65"/>
      <c r="D41" s="69">
        <f t="shared" si="42"/>
        <v>500</v>
      </c>
      <c r="E41" s="70">
        <f t="shared" si="3"/>
        <v>0</v>
      </c>
      <c r="G41" s="68">
        <f t="shared" ref="G41:H41" si="128">A41</f>
        <v>0</v>
      </c>
      <c r="H41" s="65" t="str">
        <f t="shared" si="128"/>
        <v>hod</v>
      </c>
      <c r="I41" s="65"/>
      <c r="J41" s="69">
        <f t="shared" si="44"/>
        <v>400</v>
      </c>
      <c r="K41" s="70">
        <f t="shared" si="5"/>
        <v>0</v>
      </c>
      <c r="M41" s="68">
        <f t="shared" si="6"/>
        <v>0</v>
      </c>
      <c r="N41" s="65" t="str">
        <f t="shared" si="7"/>
        <v>hod</v>
      </c>
      <c r="O41" s="65"/>
      <c r="P41" s="69">
        <f t="shared" si="45"/>
        <v>700</v>
      </c>
      <c r="Q41" s="70">
        <f t="shared" si="8"/>
        <v>0</v>
      </c>
      <c r="S41" s="68">
        <f t="shared" si="9"/>
        <v>0</v>
      </c>
      <c r="T41" s="65" t="str">
        <f t="shared" si="10"/>
        <v>hod</v>
      </c>
      <c r="U41" s="65"/>
      <c r="V41" s="69">
        <f t="shared" si="46"/>
        <v>650</v>
      </c>
      <c r="W41" s="70">
        <f t="shared" si="11"/>
        <v>0</v>
      </c>
      <c r="Y41" s="68">
        <f t="shared" si="12"/>
        <v>0</v>
      </c>
      <c r="Z41" s="65" t="str">
        <f t="shared" si="13"/>
        <v>hod</v>
      </c>
      <c r="AA41" s="65"/>
      <c r="AB41" s="69">
        <f t="shared" si="47"/>
        <v>650</v>
      </c>
      <c r="AC41" s="70">
        <f t="shared" si="14"/>
        <v>0</v>
      </c>
      <c r="AE41" s="68">
        <f t="shared" si="15"/>
        <v>0</v>
      </c>
      <c r="AF41" s="65" t="str">
        <f t="shared" si="16"/>
        <v>hod</v>
      </c>
      <c r="AG41" s="65"/>
      <c r="AH41" s="69">
        <f t="shared" si="48"/>
        <v>700</v>
      </c>
      <c r="AI41" s="70">
        <f t="shared" si="17"/>
        <v>0</v>
      </c>
      <c r="AK41" s="68">
        <f t="shared" si="18"/>
        <v>0</v>
      </c>
      <c r="AL41" s="65" t="str">
        <f t="shared" si="19"/>
        <v>hod</v>
      </c>
      <c r="AM41" s="65"/>
      <c r="AN41" s="69">
        <f t="shared" si="49"/>
        <v>600</v>
      </c>
      <c r="AO41" s="70">
        <f t="shared" si="20"/>
        <v>0</v>
      </c>
      <c r="AQ41" s="68">
        <f t="shared" ref="AQ41:AR41" si="129">AK41</f>
        <v>0</v>
      </c>
      <c r="AR41" s="65" t="str">
        <f t="shared" si="129"/>
        <v>hod</v>
      </c>
      <c r="AS41" s="65"/>
      <c r="AT41" s="69">
        <f t="shared" si="51"/>
        <v>600</v>
      </c>
      <c r="AU41" s="70">
        <f t="shared" si="22"/>
        <v>0</v>
      </c>
      <c r="AW41" s="68">
        <f t="shared" si="23"/>
        <v>0</v>
      </c>
      <c r="AX41" s="65" t="str">
        <f t="shared" si="24"/>
        <v>hod</v>
      </c>
      <c r="AY41" s="65"/>
      <c r="AZ41" s="69">
        <f t="shared" si="52"/>
        <v>600</v>
      </c>
      <c r="BA41" s="70">
        <f t="shared" si="25"/>
        <v>0</v>
      </c>
      <c r="BC41" s="68">
        <f t="shared" si="26"/>
        <v>0</v>
      </c>
      <c r="BD41" s="65" t="str">
        <f t="shared" si="27"/>
        <v>hod</v>
      </c>
      <c r="BE41" s="65"/>
      <c r="BF41" s="69">
        <f t="shared" si="53"/>
        <v>600</v>
      </c>
      <c r="BG41" s="70">
        <f t="shared" si="28"/>
        <v>0</v>
      </c>
      <c r="BI41" s="68">
        <f t="shared" si="29"/>
        <v>0</v>
      </c>
      <c r="BJ41" s="65" t="str">
        <f t="shared" si="30"/>
        <v>hod</v>
      </c>
      <c r="BK41" s="65"/>
      <c r="BL41" s="69">
        <f t="shared" si="54"/>
        <v>800</v>
      </c>
      <c r="BM41" s="70">
        <f t="shared" si="31"/>
        <v>0</v>
      </c>
      <c r="BO41" s="68">
        <f t="shared" si="32"/>
        <v>0</v>
      </c>
      <c r="BP41" s="65" t="str">
        <f t="shared" si="33"/>
        <v>hod</v>
      </c>
      <c r="BQ41" s="65"/>
      <c r="BR41" s="69">
        <f t="shared" si="55"/>
        <v>650</v>
      </c>
      <c r="BS41" s="70">
        <f t="shared" si="34"/>
        <v>0</v>
      </c>
      <c r="BU41" s="68">
        <f t="shared" si="35"/>
        <v>0</v>
      </c>
      <c r="BV41" s="65" t="str">
        <f t="shared" si="36"/>
        <v>hod</v>
      </c>
      <c r="BW41" s="65"/>
      <c r="BX41" s="69">
        <f t="shared" si="56"/>
        <v>950</v>
      </c>
      <c r="BY41" s="70">
        <f t="shared" si="37"/>
        <v>0</v>
      </c>
      <c r="CA41" s="68">
        <f t="shared" si="38"/>
        <v>0</v>
      </c>
      <c r="CB41" s="65" t="str">
        <f t="shared" si="39"/>
        <v>hod</v>
      </c>
      <c r="CC41" s="65"/>
      <c r="CD41" s="69">
        <f t="shared" si="57"/>
        <v>600</v>
      </c>
      <c r="CE41" s="70">
        <f t="shared" si="40"/>
        <v>0</v>
      </c>
      <c r="CG41" s="68">
        <f t="shared" si="41"/>
        <v>0</v>
      </c>
      <c r="CH41" s="69">
        <f t="shared" si="58"/>
        <v>0</v>
      </c>
      <c r="CI41" s="85">
        <f t="shared" si="59"/>
        <v>0</v>
      </c>
    </row>
    <row r="42" ht="12.75" customHeight="1">
      <c r="A42" s="68">
        <v>0.0</v>
      </c>
      <c r="B42" s="65" t="s">
        <v>86</v>
      </c>
      <c r="C42" s="65"/>
      <c r="D42" s="69">
        <f t="shared" si="42"/>
        <v>500</v>
      </c>
      <c r="E42" s="70">
        <f t="shared" si="3"/>
        <v>0</v>
      </c>
      <c r="G42" s="68">
        <f t="shared" ref="G42:H42" si="130">A42</f>
        <v>0</v>
      </c>
      <c r="H42" s="65" t="str">
        <f t="shared" si="130"/>
        <v>hod</v>
      </c>
      <c r="I42" s="65"/>
      <c r="J42" s="69">
        <f t="shared" si="44"/>
        <v>400</v>
      </c>
      <c r="K42" s="70">
        <f t="shared" si="5"/>
        <v>0</v>
      </c>
      <c r="M42" s="68">
        <f t="shared" si="6"/>
        <v>0</v>
      </c>
      <c r="N42" s="65" t="str">
        <f t="shared" si="7"/>
        <v>hod</v>
      </c>
      <c r="O42" s="65"/>
      <c r="P42" s="69">
        <f t="shared" si="45"/>
        <v>700</v>
      </c>
      <c r="Q42" s="70">
        <f t="shared" si="8"/>
        <v>0</v>
      </c>
      <c r="S42" s="68">
        <f t="shared" si="9"/>
        <v>0</v>
      </c>
      <c r="T42" s="65" t="str">
        <f t="shared" si="10"/>
        <v>hod</v>
      </c>
      <c r="U42" s="65"/>
      <c r="V42" s="69">
        <f t="shared" si="46"/>
        <v>650</v>
      </c>
      <c r="W42" s="70">
        <f t="shared" si="11"/>
        <v>0</v>
      </c>
      <c r="Y42" s="68">
        <f t="shared" si="12"/>
        <v>0</v>
      </c>
      <c r="Z42" s="65" t="str">
        <f t="shared" si="13"/>
        <v>hod</v>
      </c>
      <c r="AA42" s="65"/>
      <c r="AB42" s="69">
        <f t="shared" si="47"/>
        <v>650</v>
      </c>
      <c r="AC42" s="70">
        <f t="shared" si="14"/>
        <v>0</v>
      </c>
      <c r="AE42" s="68">
        <f t="shared" si="15"/>
        <v>0</v>
      </c>
      <c r="AF42" s="65" t="str">
        <f t="shared" si="16"/>
        <v>hod</v>
      </c>
      <c r="AG42" s="65"/>
      <c r="AH42" s="69">
        <f t="shared" si="48"/>
        <v>700</v>
      </c>
      <c r="AI42" s="70">
        <f t="shared" si="17"/>
        <v>0</v>
      </c>
      <c r="AK42" s="68">
        <f t="shared" si="18"/>
        <v>0</v>
      </c>
      <c r="AL42" s="65" t="str">
        <f t="shared" si="19"/>
        <v>hod</v>
      </c>
      <c r="AM42" s="65"/>
      <c r="AN42" s="69">
        <f t="shared" si="49"/>
        <v>600</v>
      </c>
      <c r="AO42" s="70">
        <f t="shared" si="20"/>
        <v>0</v>
      </c>
      <c r="AQ42" s="68">
        <f t="shared" ref="AQ42:AR42" si="131">AK42</f>
        <v>0</v>
      </c>
      <c r="AR42" s="65" t="str">
        <f t="shared" si="131"/>
        <v>hod</v>
      </c>
      <c r="AS42" s="65"/>
      <c r="AT42" s="69">
        <f t="shared" si="51"/>
        <v>600</v>
      </c>
      <c r="AU42" s="70">
        <f t="shared" si="22"/>
        <v>0</v>
      </c>
      <c r="AW42" s="68">
        <f t="shared" si="23"/>
        <v>0</v>
      </c>
      <c r="AX42" s="65" t="str">
        <f t="shared" si="24"/>
        <v>hod</v>
      </c>
      <c r="AY42" s="65"/>
      <c r="AZ42" s="69">
        <f t="shared" si="52"/>
        <v>600</v>
      </c>
      <c r="BA42" s="70">
        <f t="shared" si="25"/>
        <v>0</v>
      </c>
      <c r="BC42" s="68">
        <f t="shared" si="26"/>
        <v>0</v>
      </c>
      <c r="BD42" s="65" t="str">
        <f t="shared" si="27"/>
        <v>hod</v>
      </c>
      <c r="BE42" s="65"/>
      <c r="BF42" s="69">
        <f t="shared" si="53"/>
        <v>600</v>
      </c>
      <c r="BG42" s="70">
        <f t="shared" si="28"/>
        <v>0</v>
      </c>
      <c r="BI42" s="68">
        <f t="shared" si="29"/>
        <v>0</v>
      </c>
      <c r="BJ42" s="65" t="str">
        <f t="shared" si="30"/>
        <v>hod</v>
      </c>
      <c r="BK42" s="65"/>
      <c r="BL42" s="69">
        <f t="shared" si="54"/>
        <v>800</v>
      </c>
      <c r="BM42" s="70">
        <f t="shared" si="31"/>
        <v>0</v>
      </c>
      <c r="BO42" s="68">
        <f t="shared" si="32"/>
        <v>0</v>
      </c>
      <c r="BP42" s="65" t="str">
        <f t="shared" si="33"/>
        <v>hod</v>
      </c>
      <c r="BQ42" s="65"/>
      <c r="BR42" s="69">
        <f t="shared" si="55"/>
        <v>650</v>
      </c>
      <c r="BS42" s="70">
        <f t="shared" si="34"/>
        <v>0</v>
      </c>
      <c r="BU42" s="68">
        <f t="shared" si="35"/>
        <v>0</v>
      </c>
      <c r="BV42" s="65" t="str">
        <f t="shared" si="36"/>
        <v>hod</v>
      </c>
      <c r="BW42" s="65"/>
      <c r="BX42" s="69">
        <f t="shared" si="56"/>
        <v>950</v>
      </c>
      <c r="BY42" s="70">
        <f t="shared" si="37"/>
        <v>0</v>
      </c>
      <c r="CA42" s="68">
        <f t="shared" si="38"/>
        <v>0</v>
      </c>
      <c r="CB42" s="65" t="str">
        <f t="shared" si="39"/>
        <v>hod</v>
      </c>
      <c r="CC42" s="65"/>
      <c r="CD42" s="69">
        <f t="shared" si="57"/>
        <v>600</v>
      </c>
      <c r="CE42" s="70">
        <f t="shared" si="40"/>
        <v>0</v>
      </c>
      <c r="CG42" s="68">
        <f t="shared" si="41"/>
        <v>0</v>
      </c>
      <c r="CH42" s="69">
        <f t="shared" si="58"/>
        <v>0</v>
      </c>
      <c r="CI42" s="85">
        <f t="shared" si="59"/>
        <v>0</v>
      </c>
    </row>
    <row r="43" ht="12.75" customHeight="1">
      <c r="A43" s="68">
        <v>0.0</v>
      </c>
      <c r="B43" s="65" t="s">
        <v>86</v>
      </c>
      <c r="C43" s="65"/>
      <c r="D43" s="69">
        <f t="shared" si="42"/>
        <v>500</v>
      </c>
      <c r="E43" s="70">
        <f t="shared" si="3"/>
        <v>0</v>
      </c>
      <c r="G43" s="68">
        <f t="shared" ref="G43:H43" si="132">A43</f>
        <v>0</v>
      </c>
      <c r="H43" s="65" t="str">
        <f t="shared" si="132"/>
        <v>hod</v>
      </c>
      <c r="I43" s="65"/>
      <c r="J43" s="69">
        <f t="shared" si="44"/>
        <v>400</v>
      </c>
      <c r="K43" s="70">
        <f t="shared" si="5"/>
        <v>0</v>
      </c>
      <c r="M43" s="68">
        <f t="shared" si="6"/>
        <v>0</v>
      </c>
      <c r="N43" s="65" t="str">
        <f t="shared" si="7"/>
        <v>hod</v>
      </c>
      <c r="O43" s="65"/>
      <c r="P43" s="69">
        <f t="shared" si="45"/>
        <v>700</v>
      </c>
      <c r="Q43" s="70">
        <f t="shared" si="8"/>
        <v>0</v>
      </c>
      <c r="S43" s="68">
        <f t="shared" si="9"/>
        <v>0</v>
      </c>
      <c r="T43" s="65" t="str">
        <f t="shared" si="10"/>
        <v>hod</v>
      </c>
      <c r="U43" s="65"/>
      <c r="V43" s="69">
        <f t="shared" si="46"/>
        <v>650</v>
      </c>
      <c r="W43" s="70">
        <f t="shared" si="11"/>
        <v>0</v>
      </c>
      <c r="Y43" s="68">
        <f t="shared" si="12"/>
        <v>0</v>
      </c>
      <c r="Z43" s="65" t="str">
        <f t="shared" si="13"/>
        <v>hod</v>
      </c>
      <c r="AA43" s="65"/>
      <c r="AB43" s="69">
        <f t="shared" si="47"/>
        <v>650</v>
      </c>
      <c r="AC43" s="70">
        <f t="shared" si="14"/>
        <v>0</v>
      </c>
      <c r="AE43" s="68">
        <f t="shared" si="15"/>
        <v>0</v>
      </c>
      <c r="AF43" s="65" t="str">
        <f t="shared" si="16"/>
        <v>hod</v>
      </c>
      <c r="AG43" s="65"/>
      <c r="AH43" s="69">
        <f t="shared" si="48"/>
        <v>700</v>
      </c>
      <c r="AI43" s="70">
        <f t="shared" si="17"/>
        <v>0</v>
      </c>
      <c r="AK43" s="68">
        <f t="shared" si="18"/>
        <v>0</v>
      </c>
      <c r="AL43" s="65" t="str">
        <f t="shared" si="19"/>
        <v>hod</v>
      </c>
      <c r="AM43" s="65"/>
      <c r="AN43" s="69">
        <f t="shared" si="49"/>
        <v>600</v>
      </c>
      <c r="AO43" s="70">
        <f t="shared" si="20"/>
        <v>0</v>
      </c>
      <c r="AQ43" s="68">
        <f t="shared" ref="AQ43:AR43" si="133">AK43</f>
        <v>0</v>
      </c>
      <c r="AR43" s="65" t="str">
        <f t="shared" si="133"/>
        <v>hod</v>
      </c>
      <c r="AS43" s="65"/>
      <c r="AT43" s="69">
        <f t="shared" si="51"/>
        <v>600</v>
      </c>
      <c r="AU43" s="70">
        <f t="shared" si="22"/>
        <v>0</v>
      </c>
      <c r="AW43" s="68">
        <f t="shared" si="23"/>
        <v>0</v>
      </c>
      <c r="AX43" s="65" t="str">
        <f t="shared" si="24"/>
        <v>hod</v>
      </c>
      <c r="AY43" s="65"/>
      <c r="AZ43" s="69">
        <f t="shared" si="52"/>
        <v>600</v>
      </c>
      <c r="BA43" s="70">
        <f t="shared" si="25"/>
        <v>0</v>
      </c>
      <c r="BC43" s="68">
        <f t="shared" si="26"/>
        <v>0</v>
      </c>
      <c r="BD43" s="65" t="str">
        <f t="shared" si="27"/>
        <v>hod</v>
      </c>
      <c r="BE43" s="65"/>
      <c r="BF43" s="69">
        <f t="shared" si="53"/>
        <v>600</v>
      </c>
      <c r="BG43" s="70">
        <f t="shared" si="28"/>
        <v>0</v>
      </c>
      <c r="BI43" s="68">
        <f t="shared" si="29"/>
        <v>0</v>
      </c>
      <c r="BJ43" s="65" t="str">
        <f t="shared" si="30"/>
        <v>hod</v>
      </c>
      <c r="BK43" s="65"/>
      <c r="BL43" s="69">
        <f t="shared" si="54"/>
        <v>800</v>
      </c>
      <c r="BM43" s="70">
        <f t="shared" si="31"/>
        <v>0</v>
      </c>
      <c r="BO43" s="68">
        <f t="shared" si="32"/>
        <v>0</v>
      </c>
      <c r="BP43" s="65" t="str">
        <f t="shared" si="33"/>
        <v>hod</v>
      </c>
      <c r="BQ43" s="65"/>
      <c r="BR43" s="69">
        <f t="shared" si="55"/>
        <v>650</v>
      </c>
      <c r="BS43" s="70">
        <f t="shared" si="34"/>
        <v>0</v>
      </c>
      <c r="BU43" s="68">
        <f t="shared" si="35"/>
        <v>0</v>
      </c>
      <c r="BV43" s="65" t="str">
        <f t="shared" si="36"/>
        <v>hod</v>
      </c>
      <c r="BW43" s="65"/>
      <c r="BX43" s="69">
        <f t="shared" si="56"/>
        <v>950</v>
      </c>
      <c r="BY43" s="70">
        <f t="shared" si="37"/>
        <v>0</v>
      </c>
      <c r="CA43" s="68">
        <f t="shared" si="38"/>
        <v>0</v>
      </c>
      <c r="CB43" s="65" t="str">
        <f t="shared" si="39"/>
        <v>hod</v>
      </c>
      <c r="CC43" s="65"/>
      <c r="CD43" s="69">
        <f t="shared" si="57"/>
        <v>600</v>
      </c>
      <c r="CE43" s="70">
        <f t="shared" si="40"/>
        <v>0</v>
      </c>
      <c r="CG43" s="68">
        <f t="shared" si="41"/>
        <v>0</v>
      </c>
      <c r="CH43" s="69">
        <f t="shared" si="58"/>
        <v>0</v>
      </c>
      <c r="CI43" s="85">
        <f t="shared" si="59"/>
        <v>0</v>
      </c>
    </row>
    <row r="44" ht="12.75" customHeight="1">
      <c r="A44" s="68">
        <v>0.0</v>
      </c>
      <c r="B44" s="65" t="s">
        <v>86</v>
      </c>
      <c r="C44" s="65"/>
      <c r="D44" s="69">
        <f t="shared" si="42"/>
        <v>500</v>
      </c>
      <c r="E44" s="70">
        <f t="shared" si="3"/>
        <v>0</v>
      </c>
      <c r="G44" s="68">
        <f t="shared" ref="G44:H44" si="134">A44</f>
        <v>0</v>
      </c>
      <c r="H44" s="65" t="str">
        <f t="shared" si="134"/>
        <v>hod</v>
      </c>
      <c r="I44" s="65"/>
      <c r="J44" s="69">
        <f t="shared" si="44"/>
        <v>400</v>
      </c>
      <c r="K44" s="70">
        <f t="shared" si="5"/>
        <v>0</v>
      </c>
      <c r="M44" s="68">
        <f t="shared" si="6"/>
        <v>0</v>
      </c>
      <c r="N44" s="65" t="str">
        <f t="shared" si="7"/>
        <v>hod</v>
      </c>
      <c r="O44" s="65"/>
      <c r="P44" s="69">
        <f t="shared" si="45"/>
        <v>700</v>
      </c>
      <c r="Q44" s="70">
        <f t="shared" si="8"/>
        <v>0</v>
      </c>
      <c r="S44" s="68">
        <f t="shared" si="9"/>
        <v>0</v>
      </c>
      <c r="T44" s="65" t="str">
        <f t="shared" si="10"/>
        <v>hod</v>
      </c>
      <c r="U44" s="65"/>
      <c r="V44" s="69">
        <f t="shared" si="46"/>
        <v>650</v>
      </c>
      <c r="W44" s="70">
        <f t="shared" si="11"/>
        <v>0</v>
      </c>
      <c r="Y44" s="68">
        <f t="shared" si="12"/>
        <v>0</v>
      </c>
      <c r="Z44" s="65" t="str">
        <f t="shared" si="13"/>
        <v>hod</v>
      </c>
      <c r="AA44" s="65"/>
      <c r="AB44" s="69">
        <f t="shared" si="47"/>
        <v>650</v>
      </c>
      <c r="AC44" s="70">
        <f t="shared" si="14"/>
        <v>0</v>
      </c>
      <c r="AE44" s="68">
        <f t="shared" si="15"/>
        <v>0</v>
      </c>
      <c r="AF44" s="65" t="str">
        <f t="shared" si="16"/>
        <v>hod</v>
      </c>
      <c r="AG44" s="65"/>
      <c r="AH44" s="69">
        <f t="shared" si="48"/>
        <v>700</v>
      </c>
      <c r="AI44" s="70">
        <f t="shared" si="17"/>
        <v>0</v>
      </c>
      <c r="AK44" s="68">
        <f t="shared" si="18"/>
        <v>0</v>
      </c>
      <c r="AL44" s="65" t="str">
        <f t="shared" si="19"/>
        <v>hod</v>
      </c>
      <c r="AM44" s="65"/>
      <c r="AN44" s="69">
        <f t="shared" si="49"/>
        <v>600</v>
      </c>
      <c r="AO44" s="70">
        <f t="shared" si="20"/>
        <v>0</v>
      </c>
      <c r="AQ44" s="68">
        <f t="shared" ref="AQ44:AR44" si="135">AK44</f>
        <v>0</v>
      </c>
      <c r="AR44" s="65" t="str">
        <f t="shared" si="135"/>
        <v>hod</v>
      </c>
      <c r="AS44" s="65"/>
      <c r="AT44" s="69">
        <f t="shared" si="51"/>
        <v>600</v>
      </c>
      <c r="AU44" s="70">
        <f t="shared" si="22"/>
        <v>0</v>
      </c>
      <c r="AW44" s="68">
        <f t="shared" si="23"/>
        <v>0</v>
      </c>
      <c r="AX44" s="65" t="str">
        <f t="shared" si="24"/>
        <v>hod</v>
      </c>
      <c r="AY44" s="65"/>
      <c r="AZ44" s="69">
        <f t="shared" si="52"/>
        <v>600</v>
      </c>
      <c r="BA44" s="70">
        <f t="shared" si="25"/>
        <v>0</v>
      </c>
      <c r="BC44" s="68">
        <f t="shared" si="26"/>
        <v>0</v>
      </c>
      <c r="BD44" s="65" t="str">
        <f t="shared" si="27"/>
        <v>hod</v>
      </c>
      <c r="BE44" s="65"/>
      <c r="BF44" s="69">
        <f t="shared" si="53"/>
        <v>600</v>
      </c>
      <c r="BG44" s="70">
        <f t="shared" si="28"/>
        <v>0</v>
      </c>
      <c r="BI44" s="68">
        <f t="shared" si="29"/>
        <v>0</v>
      </c>
      <c r="BJ44" s="65" t="str">
        <f t="shared" si="30"/>
        <v>hod</v>
      </c>
      <c r="BK44" s="65"/>
      <c r="BL44" s="69">
        <f t="shared" si="54"/>
        <v>800</v>
      </c>
      <c r="BM44" s="70">
        <f t="shared" si="31"/>
        <v>0</v>
      </c>
      <c r="BO44" s="68">
        <f t="shared" si="32"/>
        <v>0</v>
      </c>
      <c r="BP44" s="65" t="str">
        <f t="shared" si="33"/>
        <v>hod</v>
      </c>
      <c r="BQ44" s="65"/>
      <c r="BR44" s="69">
        <f t="shared" si="55"/>
        <v>650</v>
      </c>
      <c r="BS44" s="70">
        <f t="shared" si="34"/>
        <v>0</v>
      </c>
      <c r="BU44" s="68">
        <f t="shared" si="35"/>
        <v>0</v>
      </c>
      <c r="BV44" s="65" t="str">
        <f t="shared" si="36"/>
        <v>hod</v>
      </c>
      <c r="BW44" s="65"/>
      <c r="BX44" s="69">
        <f t="shared" si="56"/>
        <v>950</v>
      </c>
      <c r="BY44" s="70">
        <f t="shared" si="37"/>
        <v>0</v>
      </c>
      <c r="CA44" s="68">
        <f t="shared" si="38"/>
        <v>0</v>
      </c>
      <c r="CB44" s="65" t="str">
        <f t="shared" si="39"/>
        <v>hod</v>
      </c>
      <c r="CC44" s="65"/>
      <c r="CD44" s="69">
        <f t="shared" si="57"/>
        <v>600</v>
      </c>
      <c r="CE44" s="70">
        <f t="shared" si="40"/>
        <v>0</v>
      </c>
      <c r="CG44" s="68">
        <f t="shared" si="41"/>
        <v>0</v>
      </c>
      <c r="CH44" s="69">
        <f t="shared" si="58"/>
        <v>0</v>
      </c>
      <c r="CI44" s="85">
        <f t="shared" si="59"/>
        <v>0</v>
      </c>
    </row>
    <row r="45" ht="12.75" customHeight="1">
      <c r="A45" s="68">
        <v>0.0</v>
      </c>
      <c r="B45" s="65" t="s">
        <v>86</v>
      </c>
      <c r="C45" s="65"/>
      <c r="D45" s="69">
        <f t="shared" si="42"/>
        <v>500</v>
      </c>
      <c r="E45" s="70">
        <f t="shared" si="3"/>
        <v>0</v>
      </c>
      <c r="G45" s="68">
        <f t="shared" ref="G45:H45" si="136">A45</f>
        <v>0</v>
      </c>
      <c r="H45" s="65" t="str">
        <f t="shared" si="136"/>
        <v>hod</v>
      </c>
      <c r="I45" s="65"/>
      <c r="J45" s="69">
        <f t="shared" si="44"/>
        <v>400</v>
      </c>
      <c r="K45" s="70">
        <f t="shared" si="5"/>
        <v>0</v>
      </c>
      <c r="M45" s="68">
        <f t="shared" si="6"/>
        <v>0</v>
      </c>
      <c r="N45" s="65" t="str">
        <f t="shared" si="7"/>
        <v>hod</v>
      </c>
      <c r="O45" s="65"/>
      <c r="P45" s="69">
        <f t="shared" si="45"/>
        <v>700</v>
      </c>
      <c r="Q45" s="70">
        <f t="shared" si="8"/>
        <v>0</v>
      </c>
      <c r="S45" s="68">
        <f t="shared" si="9"/>
        <v>0</v>
      </c>
      <c r="T45" s="65" t="str">
        <f t="shared" si="10"/>
        <v>hod</v>
      </c>
      <c r="U45" s="65"/>
      <c r="V45" s="69">
        <f t="shared" si="46"/>
        <v>650</v>
      </c>
      <c r="W45" s="70">
        <f t="shared" si="11"/>
        <v>0</v>
      </c>
      <c r="Y45" s="68">
        <f t="shared" si="12"/>
        <v>0</v>
      </c>
      <c r="Z45" s="65" t="str">
        <f t="shared" si="13"/>
        <v>hod</v>
      </c>
      <c r="AA45" s="65"/>
      <c r="AB45" s="69">
        <f t="shared" si="47"/>
        <v>650</v>
      </c>
      <c r="AC45" s="70">
        <f t="shared" si="14"/>
        <v>0</v>
      </c>
      <c r="AE45" s="68">
        <f t="shared" si="15"/>
        <v>0</v>
      </c>
      <c r="AF45" s="65" t="str">
        <f t="shared" si="16"/>
        <v>hod</v>
      </c>
      <c r="AG45" s="65"/>
      <c r="AH45" s="69">
        <f t="shared" si="48"/>
        <v>700</v>
      </c>
      <c r="AI45" s="70">
        <f t="shared" si="17"/>
        <v>0</v>
      </c>
      <c r="AK45" s="68">
        <f t="shared" si="18"/>
        <v>0</v>
      </c>
      <c r="AL45" s="65" t="str">
        <f t="shared" si="19"/>
        <v>hod</v>
      </c>
      <c r="AM45" s="65"/>
      <c r="AN45" s="69">
        <f t="shared" si="49"/>
        <v>600</v>
      </c>
      <c r="AO45" s="70">
        <f t="shared" si="20"/>
        <v>0</v>
      </c>
      <c r="AQ45" s="68">
        <f t="shared" ref="AQ45:AR45" si="137">AK45</f>
        <v>0</v>
      </c>
      <c r="AR45" s="65" t="str">
        <f t="shared" si="137"/>
        <v>hod</v>
      </c>
      <c r="AS45" s="65"/>
      <c r="AT45" s="69">
        <f t="shared" si="51"/>
        <v>600</v>
      </c>
      <c r="AU45" s="70">
        <f t="shared" si="22"/>
        <v>0</v>
      </c>
      <c r="AW45" s="68">
        <f t="shared" si="23"/>
        <v>0</v>
      </c>
      <c r="AX45" s="65" t="str">
        <f t="shared" si="24"/>
        <v>hod</v>
      </c>
      <c r="AY45" s="65"/>
      <c r="AZ45" s="69">
        <f t="shared" si="52"/>
        <v>600</v>
      </c>
      <c r="BA45" s="70">
        <f t="shared" si="25"/>
        <v>0</v>
      </c>
      <c r="BC45" s="68">
        <f t="shared" si="26"/>
        <v>0</v>
      </c>
      <c r="BD45" s="65" t="str">
        <f t="shared" si="27"/>
        <v>hod</v>
      </c>
      <c r="BE45" s="65"/>
      <c r="BF45" s="69">
        <f t="shared" si="53"/>
        <v>600</v>
      </c>
      <c r="BG45" s="70">
        <f t="shared" si="28"/>
        <v>0</v>
      </c>
      <c r="BI45" s="68">
        <f t="shared" si="29"/>
        <v>0</v>
      </c>
      <c r="BJ45" s="65" t="str">
        <f t="shared" si="30"/>
        <v>hod</v>
      </c>
      <c r="BK45" s="65"/>
      <c r="BL45" s="69">
        <f t="shared" si="54"/>
        <v>800</v>
      </c>
      <c r="BM45" s="70">
        <f t="shared" si="31"/>
        <v>0</v>
      </c>
      <c r="BO45" s="68">
        <f t="shared" si="32"/>
        <v>0</v>
      </c>
      <c r="BP45" s="65" t="str">
        <f t="shared" si="33"/>
        <v>hod</v>
      </c>
      <c r="BQ45" s="65"/>
      <c r="BR45" s="69">
        <f t="shared" si="55"/>
        <v>650</v>
      </c>
      <c r="BS45" s="70">
        <f t="shared" si="34"/>
        <v>0</v>
      </c>
      <c r="BU45" s="68">
        <f t="shared" si="35"/>
        <v>0</v>
      </c>
      <c r="BV45" s="65" t="str">
        <f t="shared" si="36"/>
        <v>hod</v>
      </c>
      <c r="BW45" s="65"/>
      <c r="BX45" s="69">
        <f t="shared" si="56"/>
        <v>950</v>
      </c>
      <c r="BY45" s="70">
        <f t="shared" si="37"/>
        <v>0</v>
      </c>
      <c r="CA45" s="68">
        <f t="shared" si="38"/>
        <v>0</v>
      </c>
      <c r="CB45" s="65" t="str">
        <f t="shared" si="39"/>
        <v>hod</v>
      </c>
      <c r="CC45" s="65"/>
      <c r="CD45" s="69">
        <f t="shared" si="57"/>
        <v>600</v>
      </c>
      <c r="CE45" s="70">
        <f t="shared" si="40"/>
        <v>0</v>
      </c>
      <c r="CG45" s="68">
        <f t="shared" si="41"/>
        <v>0</v>
      </c>
      <c r="CH45" s="69">
        <f t="shared" si="58"/>
        <v>0</v>
      </c>
      <c r="CI45" s="85">
        <f t="shared" si="59"/>
        <v>0</v>
      </c>
    </row>
    <row r="46" ht="12.75" customHeight="1">
      <c r="A46" s="68">
        <v>0.0</v>
      </c>
      <c r="B46" s="65" t="s">
        <v>86</v>
      </c>
      <c r="C46" s="65"/>
      <c r="D46" s="69">
        <f t="shared" si="42"/>
        <v>500</v>
      </c>
      <c r="E46" s="70">
        <f t="shared" si="3"/>
        <v>0</v>
      </c>
      <c r="G46" s="68">
        <f t="shared" ref="G46:H46" si="138">A46</f>
        <v>0</v>
      </c>
      <c r="H46" s="65" t="str">
        <f t="shared" si="138"/>
        <v>hod</v>
      </c>
      <c r="I46" s="65"/>
      <c r="J46" s="69">
        <f t="shared" si="44"/>
        <v>400</v>
      </c>
      <c r="K46" s="70">
        <f t="shared" si="5"/>
        <v>0</v>
      </c>
      <c r="M46" s="68">
        <f t="shared" si="6"/>
        <v>0</v>
      </c>
      <c r="N46" s="65" t="str">
        <f t="shared" si="7"/>
        <v>hod</v>
      </c>
      <c r="O46" s="65"/>
      <c r="P46" s="69">
        <f t="shared" si="45"/>
        <v>700</v>
      </c>
      <c r="Q46" s="70">
        <f t="shared" si="8"/>
        <v>0</v>
      </c>
      <c r="S46" s="68">
        <f t="shared" si="9"/>
        <v>0</v>
      </c>
      <c r="T46" s="65" t="str">
        <f t="shared" si="10"/>
        <v>hod</v>
      </c>
      <c r="U46" s="65"/>
      <c r="V46" s="69">
        <f t="shared" si="46"/>
        <v>650</v>
      </c>
      <c r="W46" s="70">
        <f t="shared" si="11"/>
        <v>0</v>
      </c>
      <c r="Y46" s="68">
        <f t="shared" si="12"/>
        <v>0</v>
      </c>
      <c r="Z46" s="65" t="str">
        <f t="shared" si="13"/>
        <v>hod</v>
      </c>
      <c r="AA46" s="65"/>
      <c r="AB46" s="69">
        <f t="shared" si="47"/>
        <v>650</v>
      </c>
      <c r="AC46" s="70">
        <f t="shared" si="14"/>
        <v>0</v>
      </c>
      <c r="AE46" s="68">
        <f t="shared" si="15"/>
        <v>0</v>
      </c>
      <c r="AF46" s="65" t="str">
        <f t="shared" si="16"/>
        <v>hod</v>
      </c>
      <c r="AG46" s="65"/>
      <c r="AH46" s="69">
        <f t="shared" si="48"/>
        <v>700</v>
      </c>
      <c r="AI46" s="70">
        <f t="shared" si="17"/>
        <v>0</v>
      </c>
      <c r="AK46" s="68">
        <f t="shared" si="18"/>
        <v>0</v>
      </c>
      <c r="AL46" s="65" t="str">
        <f t="shared" si="19"/>
        <v>hod</v>
      </c>
      <c r="AM46" s="65"/>
      <c r="AN46" s="69">
        <f t="shared" si="49"/>
        <v>600</v>
      </c>
      <c r="AO46" s="70">
        <f t="shared" si="20"/>
        <v>0</v>
      </c>
      <c r="AQ46" s="68">
        <f t="shared" ref="AQ46:AR46" si="139">AK46</f>
        <v>0</v>
      </c>
      <c r="AR46" s="65" t="str">
        <f t="shared" si="139"/>
        <v>hod</v>
      </c>
      <c r="AS46" s="65"/>
      <c r="AT46" s="69">
        <f t="shared" si="51"/>
        <v>600</v>
      </c>
      <c r="AU46" s="70">
        <f t="shared" si="22"/>
        <v>0</v>
      </c>
      <c r="AW46" s="68">
        <f t="shared" si="23"/>
        <v>0</v>
      </c>
      <c r="AX46" s="65" t="str">
        <f t="shared" si="24"/>
        <v>hod</v>
      </c>
      <c r="AY46" s="65"/>
      <c r="AZ46" s="69">
        <f t="shared" si="52"/>
        <v>600</v>
      </c>
      <c r="BA46" s="70">
        <f t="shared" si="25"/>
        <v>0</v>
      </c>
      <c r="BC46" s="68">
        <f t="shared" si="26"/>
        <v>0</v>
      </c>
      <c r="BD46" s="65" t="str">
        <f t="shared" si="27"/>
        <v>hod</v>
      </c>
      <c r="BE46" s="65"/>
      <c r="BF46" s="69">
        <f t="shared" si="53"/>
        <v>600</v>
      </c>
      <c r="BG46" s="70">
        <f t="shared" si="28"/>
        <v>0</v>
      </c>
      <c r="BI46" s="68">
        <f t="shared" si="29"/>
        <v>0</v>
      </c>
      <c r="BJ46" s="65" t="str">
        <f t="shared" si="30"/>
        <v>hod</v>
      </c>
      <c r="BK46" s="65"/>
      <c r="BL46" s="69">
        <f t="shared" si="54"/>
        <v>800</v>
      </c>
      <c r="BM46" s="70">
        <f t="shared" si="31"/>
        <v>0</v>
      </c>
      <c r="BO46" s="68">
        <f t="shared" si="32"/>
        <v>0</v>
      </c>
      <c r="BP46" s="65" t="str">
        <f t="shared" si="33"/>
        <v>hod</v>
      </c>
      <c r="BQ46" s="65"/>
      <c r="BR46" s="69">
        <f t="shared" si="55"/>
        <v>650</v>
      </c>
      <c r="BS46" s="70">
        <f t="shared" si="34"/>
        <v>0</v>
      </c>
      <c r="BU46" s="68">
        <f t="shared" si="35"/>
        <v>0</v>
      </c>
      <c r="BV46" s="65" t="str">
        <f t="shared" si="36"/>
        <v>hod</v>
      </c>
      <c r="BW46" s="65"/>
      <c r="BX46" s="69">
        <f t="shared" si="56"/>
        <v>950</v>
      </c>
      <c r="BY46" s="70">
        <f t="shared" si="37"/>
        <v>0</v>
      </c>
      <c r="CA46" s="68">
        <f t="shared" si="38"/>
        <v>0</v>
      </c>
      <c r="CB46" s="65" t="str">
        <f t="shared" si="39"/>
        <v>hod</v>
      </c>
      <c r="CC46" s="65"/>
      <c r="CD46" s="69">
        <f t="shared" si="57"/>
        <v>600</v>
      </c>
      <c r="CE46" s="70">
        <f t="shared" si="40"/>
        <v>0</v>
      </c>
      <c r="CG46" s="68">
        <f t="shared" si="41"/>
        <v>0</v>
      </c>
      <c r="CH46" s="69">
        <f t="shared" si="58"/>
        <v>0</v>
      </c>
      <c r="CI46" s="85">
        <f t="shared" si="59"/>
        <v>0</v>
      </c>
    </row>
    <row r="47" ht="12.75" customHeight="1">
      <c r="A47" s="68">
        <v>0.0</v>
      </c>
      <c r="B47" s="65" t="s">
        <v>86</v>
      </c>
      <c r="C47" s="65"/>
      <c r="D47" s="69">
        <f t="shared" si="42"/>
        <v>500</v>
      </c>
      <c r="E47" s="70">
        <f t="shared" si="3"/>
        <v>0</v>
      </c>
      <c r="G47" s="68">
        <f t="shared" ref="G47:H47" si="140">A47</f>
        <v>0</v>
      </c>
      <c r="H47" s="65" t="str">
        <f t="shared" si="140"/>
        <v>hod</v>
      </c>
      <c r="I47" s="65"/>
      <c r="J47" s="69">
        <f t="shared" si="44"/>
        <v>400</v>
      </c>
      <c r="K47" s="70">
        <f t="shared" si="5"/>
        <v>0</v>
      </c>
      <c r="M47" s="68">
        <f t="shared" si="6"/>
        <v>0</v>
      </c>
      <c r="N47" s="65" t="str">
        <f t="shared" si="7"/>
        <v>hod</v>
      </c>
      <c r="O47" s="65"/>
      <c r="P47" s="69">
        <f t="shared" si="45"/>
        <v>700</v>
      </c>
      <c r="Q47" s="70">
        <f t="shared" si="8"/>
        <v>0</v>
      </c>
      <c r="S47" s="68">
        <f t="shared" si="9"/>
        <v>0</v>
      </c>
      <c r="T47" s="65" t="str">
        <f t="shared" si="10"/>
        <v>hod</v>
      </c>
      <c r="U47" s="65"/>
      <c r="V47" s="69">
        <f t="shared" si="46"/>
        <v>650</v>
      </c>
      <c r="W47" s="70">
        <f t="shared" si="11"/>
        <v>0</v>
      </c>
      <c r="Y47" s="68">
        <f t="shared" si="12"/>
        <v>0</v>
      </c>
      <c r="Z47" s="65" t="str">
        <f t="shared" si="13"/>
        <v>hod</v>
      </c>
      <c r="AA47" s="65"/>
      <c r="AB47" s="69">
        <f t="shared" si="47"/>
        <v>650</v>
      </c>
      <c r="AC47" s="70">
        <f t="shared" si="14"/>
        <v>0</v>
      </c>
      <c r="AE47" s="68">
        <f t="shared" si="15"/>
        <v>0</v>
      </c>
      <c r="AF47" s="65" t="str">
        <f t="shared" si="16"/>
        <v>hod</v>
      </c>
      <c r="AG47" s="65"/>
      <c r="AH47" s="69">
        <f t="shared" si="48"/>
        <v>700</v>
      </c>
      <c r="AI47" s="70">
        <f t="shared" si="17"/>
        <v>0</v>
      </c>
      <c r="AK47" s="68">
        <f t="shared" si="18"/>
        <v>0</v>
      </c>
      <c r="AL47" s="65" t="str">
        <f t="shared" si="19"/>
        <v>hod</v>
      </c>
      <c r="AM47" s="65"/>
      <c r="AN47" s="69">
        <f t="shared" si="49"/>
        <v>600</v>
      </c>
      <c r="AO47" s="70">
        <f t="shared" si="20"/>
        <v>0</v>
      </c>
      <c r="AQ47" s="68">
        <f t="shared" ref="AQ47:AR47" si="141">AK47</f>
        <v>0</v>
      </c>
      <c r="AR47" s="65" t="str">
        <f t="shared" si="141"/>
        <v>hod</v>
      </c>
      <c r="AS47" s="65"/>
      <c r="AT47" s="69">
        <f t="shared" si="51"/>
        <v>600</v>
      </c>
      <c r="AU47" s="70">
        <f t="shared" si="22"/>
        <v>0</v>
      </c>
      <c r="AW47" s="68">
        <f t="shared" si="23"/>
        <v>0</v>
      </c>
      <c r="AX47" s="65" t="str">
        <f t="shared" si="24"/>
        <v>hod</v>
      </c>
      <c r="AY47" s="65"/>
      <c r="AZ47" s="69">
        <f t="shared" si="52"/>
        <v>600</v>
      </c>
      <c r="BA47" s="70">
        <f t="shared" si="25"/>
        <v>0</v>
      </c>
      <c r="BC47" s="68">
        <f t="shared" si="26"/>
        <v>0</v>
      </c>
      <c r="BD47" s="65" t="str">
        <f t="shared" si="27"/>
        <v>hod</v>
      </c>
      <c r="BE47" s="65"/>
      <c r="BF47" s="69">
        <f t="shared" si="53"/>
        <v>600</v>
      </c>
      <c r="BG47" s="70">
        <f t="shared" si="28"/>
        <v>0</v>
      </c>
      <c r="BI47" s="68">
        <f t="shared" si="29"/>
        <v>0</v>
      </c>
      <c r="BJ47" s="65" t="str">
        <f t="shared" si="30"/>
        <v>hod</v>
      </c>
      <c r="BK47" s="65"/>
      <c r="BL47" s="69">
        <f t="shared" si="54"/>
        <v>800</v>
      </c>
      <c r="BM47" s="70">
        <f t="shared" si="31"/>
        <v>0</v>
      </c>
      <c r="BO47" s="68">
        <f t="shared" si="32"/>
        <v>0</v>
      </c>
      <c r="BP47" s="65" t="str">
        <f t="shared" si="33"/>
        <v>hod</v>
      </c>
      <c r="BQ47" s="65"/>
      <c r="BR47" s="69">
        <f t="shared" si="55"/>
        <v>650</v>
      </c>
      <c r="BS47" s="70">
        <f t="shared" si="34"/>
        <v>0</v>
      </c>
      <c r="BU47" s="68">
        <f t="shared" si="35"/>
        <v>0</v>
      </c>
      <c r="BV47" s="65" t="str">
        <f t="shared" si="36"/>
        <v>hod</v>
      </c>
      <c r="BW47" s="65"/>
      <c r="BX47" s="69">
        <f t="shared" si="56"/>
        <v>950</v>
      </c>
      <c r="BY47" s="70">
        <f t="shared" si="37"/>
        <v>0</v>
      </c>
      <c r="CA47" s="68">
        <f t="shared" si="38"/>
        <v>0</v>
      </c>
      <c r="CB47" s="65" t="str">
        <f t="shared" si="39"/>
        <v>hod</v>
      </c>
      <c r="CC47" s="65"/>
      <c r="CD47" s="69">
        <f t="shared" si="57"/>
        <v>600</v>
      </c>
      <c r="CE47" s="70">
        <f t="shared" si="40"/>
        <v>0</v>
      </c>
      <c r="CG47" s="68">
        <f t="shared" si="41"/>
        <v>0</v>
      </c>
      <c r="CH47" s="69">
        <f t="shared" si="58"/>
        <v>0</v>
      </c>
      <c r="CI47" s="85">
        <f t="shared" si="59"/>
        <v>0</v>
      </c>
    </row>
    <row r="48" ht="12.75" customHeight="1">
      <c r="A48" s="68">
        <v>0.0</v>
      </c>
      <c r="B48" s="65" t="s">
        <v>86</v>
      </c>
      <c r="C48" s="65"/>
      <c r="D48" s="69">
        <f t="shared" si="42"/>
        <v>500</v>
      </c>
      <c r="E48" s="70">
        <f t="shared" si="3"/>
        <v>0</v>
      </c>
      <c r="G48" s="68">
        <f t="shared" ref="G48:H48" si="142">A48</f>
        <v>0</v>
      </c>
      <c r="H48" s="65" t="str">
        <f t="shared" si="142"/>
        <v>hod</v>
      </c>
      <c r="I48" s="65"/>
      <c r="J48" s="69">
        <f t="shared" si="44"/>
        <v>400</v>
      </c>
      <c r="K48" s="70">
        <f t="shared" si="5"/>
        <v>0</v>
      </c>
      <c r="M48" s="68">
        <f t="shared" si="6"/>
        <v>0</v>
      </c>
      <c r="N48" s="65" t="str">
        <f t="shared" si="7"/>
        <v>hod</v>
      </c>
      <c r="O48" s="65"/>
      <c r="P48" s="69">
        <f t="shared" si="45"/>
        <v>700</v>
      </c>
      <c r="Q48" s="70">
        <f t="shared" si="8"/>
        <v>0</v>
      </c>
      <c r="S48" s="68">
        <f t="shared" si="9"/>
        <v>0</v>
      </c>
      <c r="T48" s="65" t="str">
        <f t="shared" si="10"/>
        <v>hod</v>
      </c>
      <c r="U48" s="65"/>
      <c r="V48" s="69">
        <f t="shared" si="46"/>
        <v>650</v>
      </c>
      <c r="W48" s="70">
        <f t="shared" si="11"/>
        <v>0</v>
      </c>
      <c r="Y48" s="68">
        <f t="shared" si="12"/>
        <v>0</v>
      </c>
      <c r="Z48" s="65" t="str">
        <f t="shared" si="13"/>
        <v>hod</v>
      </c>
      <c r="AA48" s="65"/>
      <c r="AB48" s="69">
        <f t="shared" si="47"/>
        <v>650</v>
      </c>
      <c r="AC48" s="70">
        <f t="shared" si="14"/>
        <v>0</v>
      </c>
      <c r="AE48" s="68">
        <f t="shared" si="15"/>
        <v>0</v>
      </c>
      <c r="AF48" s="65" t="str">
        <f t="shared" si="16"/>
        <v>hod</v>
      </c>
      <c r="AG48" s="65"/>
      <c r="AH48" s="69">
        <f t="shared" si="48"/>
        <v>700</v>
      </c>
      <c r="AI48" s="70">
        <f t="shared" si="17"/>
        <v>0</v>
      </c>
      <c r="AK48" s="68">
        <f t="shared" si="18"/>
        <v>0</v>
      </c>
      <c r="AL48" s="65" t="str">
        <f t="shared" si="19"/>
        <v>hod</v>
      </c>
      <c r="AM48" s="65"/>
      <c r="AN48" s="69">
        <f t="shared" si="49"/>
        <v>600</v>
      </c>
      <c r="AO48" s="70">
        <f t="shared" si="20"/>
        <v>0</v>
      </c>
      <c r="AQ48" s="68">
        <f t="shared" ref="AQ48:AR48" si="143">AK48</f>
        <v>0</v>
      </c>
      <c r="AR48" s="65" t="str">
        <f t="shared" si="143"/>
        <v>hod</v>
      </c>
      <c r="AS48" s="65"/>
      <c r="AT48" s="69">
        <f t="shared" si="51"/>
        <v>600</v>
      </c>
      <c r="AU48" s="70">
        <f t="shared" si="22"/>
        <v>0</v>
      </c>
      <c r="AW48" s="68">
        <f t="shared" si="23"/>
        <v>0</v>
      </c>
      <c r="AX48" s="65" t="str">
        <f t="shared" si="24"/>
        <v>hod</v>
      </c>
      <c r="AY48" s="65"/>
      <c r="AZ48" s="69">
        <f t="shared" si="52"/>
        <v>600</v>
      </c>
      <c r="BA48" s="70">
        <f t="shared" si="25"/>
        <v>0</v>
      </c>
      <c r="BC48" s="68">
        <f t="shared" si="26"/>
        <v>0</v>
      </c>
      <c r="BD48" s="65" t="str">
        <f t="shared" si="27"/>
        <v>hod</v>
      </c>
      <c r="BE48" s="65"/>
      <c r="BF48" s="69">
        <f t="shared" si="53"/>
        <v>600</v>
      </c>
      <c r="BG48" s="70">
        <f t="shared" si="28"/>
        <v>0</v>
      </c>
      <c r="BI48" s="68">
        <f t="shared" si="29"/>
        <v>0</v>
      </c>
      <c r="BJ48" s="65" t="str">
        <f t="shared" si="30"/>
        <v>hod</v>
      </c>
      <c r="BK48" s="65"/>
      <c r="BL48" s="69">
        <f t="shared" si="54"/>
        <v>800</v>
      </c>
      <c r="BM48" s="70">
        <f t="shared" si="31"/>
        <v>0</v>
      </c>
      <c r="BO48" s="68">
        <f t="shared" si="32"/>
        <v>0</v>
      </c>
      <c r="BP48" s="65" t="str">
        <f t="shared" si="33"/>
        <v>hod</v>
      </c>
      <c r="BQ48" s="65"/>
      <c r="BR48" s="69">
        <f t="shared" si="55"/>
        <v>650</v>
      </c>
      <c r="BS48" s="70">
        <f t="shared" si="34"/>
        <v>0</v>
      </c>
      <c r="BU48" s="68">
        <f t="shared" si="35"/>
        <v>0</v>
      </c>
      <c r="BV48" s="65" t="str">
        <f t="shared" si="36"/>
        <v>hod</v>
      </c>
      <c r="BW48" s="65"/>
      <c r="BX48" s="69">
        <f t="shared" si="56"/>
        <v>950</v>
      </c>
      <c r="BY48" s="70">
        <f t="shared" si="37"/>
        <v>0</v>
      </c>
      <c r="CA48" s="68">
        <f t="shared" si="38"/>
        <v>0</v>
      </c>
      <c r="CB48" s="65" t="str">
        <f t="shared" si="39"/>
        <v>hod</v>
      </c>
      <c r="CC48" s="65"/>
      <c r="CD48" s="69">
        <f t="shared" si="57"/>
        <v>600</v>
      </c>
      <c r="CE48" s="70">
        <f t="shared" si="40"/>
        <v>0</v>
      </c>
      <c r="CG48" s="68">
        <f t="shared" si="41"/>
        <v>0</v>
      </c>
      <c r="CH48" s="69">
        <f t="shared" si="58"/>
        <v>0</v>
      </c>
      <c r="CI48" s="85">
        <f t="shared" si="59"/>
        <v>0</v>
      </c>
    </row>
    <row r="49" ht="12.75" customHeight="1">
      <c r="A49" s="68">
        <v>0.0</v>
      </c>
      <c r="B49" s="65" t="s">
        <v>86</v>
      </c>
      <c r="C49" s="65"/>
      <c r="D49" s="69">
        <f t="shared" si="42"/>
        <v>500</v>
      </c>
      <c r="E49" s="70">
        <f t="shared" si="3"/>
        <v>0</v>
      </c>
      <c r="G49" s="68">
        <f t="shared" ref="G49:H49" si="144">A49</f>
        <v>0</v>
      </c>
      <c r="H49" s="65" t="str">
        <f t="shared" si="144"/>
        <v>hod</v>
      </c>
      <c r="I49" s="65"/>
      <c r="J49" s="69">
        <f t="shared" si="44"/>
        <v>400</v>
      </c>
      <c r="K49" s="70">
        <f t="shared" si="5"/>
        <v>0</v>
      </c>
      <c r="M49" s="68">
        <f t="shared" si="6"/>
        <v>0</v>
      </c>
      <c r="N49" s="65" t="str">
        <f t="shared" si="7"/>
        <v>hod</v>
      </c>
      <c r="O49" s="65"/>
      <c r="P49" s="69">
        <f t="shared" si="45"/>
        <v>700</v>
      </c>
      <c r="Q49" s="70">
        <f t="shared" si="8"/>
        <v>0</v>
      </c>
      <c r="S49" s="68">
        <f t="shared" si="9"/>
        <v>0</v>
      </c>
      <c r="T49" s="65" t="str">
        <f t="shared" si="10"/>
        <v>hod</v>
      </c>
      <c r="U49" s="65"/>
      <c r="V49" s="69">
        <f t="shared" si="46"/>
        <v>650</v>
      </c>
      <c r="W49" s="70">
        <f t="shared" si="11"/>
        <v>0</v>
      </c>
      <c r="Y49" s="68">
        <f t="shared" si="12"/>
        <v>0</v>
      </c>
      <c r="Z49" s="65" t="str">
        <f t="shared" si="13"/>
        <v>hod</v>
      </c>
      <c r="AA49" s="65"/>
      <c r="AB49" s="69">
        <f t="shared" si="47"/>
        <v>650</v>
      </c>
      <c r="AC49" s="70">
        <f t="shared" si="14"/>
        <v>0</v>
      </c>
      <c r="AE49" s="68">
        <f t="shared" si="15"/>
        <v>0</v>
      </c>
      <c r="AF49" s="65" t="str">
        <f t="shared" si="16"/>
        <v>hod</v>
      </c>
      <c r="AG49" s="65"/>
      <c r="AH49" s="69">
        <f t="shared" si="48"/>
        <v>700</v>
      </c>
      <c r="AI49" s="70">
        <f t="shared" si="17"/>
        <v>0</v>
      </c>
      <c r="AK49" s="68">
        <f t="shared" si="18"/>
        <v>0</v>
      </c>
      <c r="AL49" s="65" t="str">
        <f t="shared" si="19"/>
        <v>hod</v>
      </c>
      <c r="AM49" s="65"/>
      <c r="AN49" s="69">
        <f t="shared" si="49"/>
        <v>600</v>
      </c>
      <c r="AO49" s="70">
        <f t="shared" si="20"/>
        <v>0</v>
      </c>
      <c r="AQ49" s="68">
        <f t="shared" ref="AQ49:AR49" si="145">AK49</f>
        <v>0</v>
      </c>
      <c r="AR49" s="65" t="str">
        <f t="shared" si="145"/>
        <v>hod</v>
      </c>
      <c r="AS49" s="65"/>
      <c r="AT49" s="69">
        <f t="shared" si="51"/>
        <v>600</v>
      </c>
      <c r="AU49" s="70">
        <f t="shared" si="22"/>
        <v>0</v>
      </c>
      <c r="AW49" s="68">
        <f t="shared" si="23"/>
        <v>0</v>
      </c>
      <c r="AX49" s="65" t="str">
        <f t="shared" si="24"/>
        <v>hod</v>
      </c>
      <c r="AY49" s="65"/>
      <c r="AZ49" s="69">
        <f t="shared" si="52"/>
        <v>600</v>
      </c>
      <c r="BA49" s="70">
        <f t="shared" si="25"/>
        <v>0</v>
      </c>
      <c r="BC49" s="68">
        <f t="shared" si="26"/>
        <v>0</v>
      </c>
      <c r="BD49" s="65" t="str">
        <f t="shared" si="27"/>
        <v>hod</v>
      </c>
      <c r="BE49" s="65"/>
      <c r="BF49" s="69">
        <f t="shared" si="53"/>
        <v>600</v>
      </c>
      <c r="BG49" s="70">
        <f t="shared" si="28"/>
        <v>0</v>
      </c>
      <c r="BI49" s="68">
        <f t="shared" si="29"/>
        <v>0</v>
      </c>
      <c r="BJ49" s="65" t="str">
        <f t="shared" si="30"/>
        <v>hod</v>
      </c>
      <c r="BK49" s="65"/>
      <c r="BL49" s="69">
        <f t="shared" si="54"/>
        <v>800</v>
      </c>
      <c r="BM49" s="70">
        <f t="shared" si="31"/>
        <v>0</v>
      </c>
      <c r="BO49" s="68">
        <f t="shared" si="32"/>
        <v>0</v>
      </c>
      <c r="BP49" s="65" t="str">
        <f t="shared" si="33"/>
        <v>hod</v>
      </c>
      <c r="BQ49" s="65"/>
      <c r="BR49" s="69">
        <f t="shared" si="55"/>
        <v>650</v>
      </c>
      <c r="BS49" s="70">
        <f t="shared" si="34"/>
        <v>0</v>
      </c>
      <c r="BU49" s="68">
        <f t="shared" si="35"/>
        <v>0</v>
      </c>
      <c r="BV49" s="65" t="str">
        <f t="shared" si="36"/>
        <v>hod</v>
      </c>
      <c r="BW49" s="65"/>
      <c r="BX49" s="69">
        <f t="shared" si="56"/>
        <v>950</v>
      </c>
      <c r="BY49" s="70">
        <f t="shared" si="37"/>
        <v>0</v>
      </c>
      <c r="CA49" s="68">
        <f t="shared" si="38"/>
        <v>0</v>
      </c>
      <c r="CB49" s="65" t="str">
        <f t="shared" si="39"/>
        <v>hod</v>
      </c>
      <c r="CC49" s="65"/>
      <c r="CD49" s="69">
        <f t="shared" si="57"/>
        <v>600</v>
      </c>
      <c r="CE49" s="70">
        <f t="shared" si="40"/>
        <v>0</v>
      </c>
      <c r="CG49" s="68">
        <f t="shared" si="41"/>
        <v>0</v>
      </c>
      <c r="CH49" s="69">
        <f t="shared" si="58"/>
        <v>0</v>
      </c>
      <c r="CI49" s="85">
        <f t="shared" si="59"/>
        <v>0</v>
      </c>
    </row>
    <row r="50" ht="12.75" customHeight="1">
      <c r="A50" s="68">
        <v>0.0</v>
      </c>
      <c r="B50" s="65" t="s">
        <v>86</v>
      </c>
      <c r="C50" s="65"/>
      <c r="D50" s="69">
        <f t="shared" si="42"/>
        <v>500</v>
      </c>
      <c r="E50" s="70">
        <f t="shared" si="3"/>
        <v>0</v>
      </c>
      <c r="G50" s="68">
        <f t="shared" ref="G50:H50" si="146">A50</f>
        <v>0</v>
      </c>
      <c r="H50" s="65" t="str">
        <f t="shared" si="146"/>
        <v>hod</v>
      </c>
      <c r="I50" s="65"/>
      <c r="J50" s="69">
        <f t="shared" si="44"/>
        <v>400</v>
      </c>
      <c r="K50" s="70">
        <f t="shared" si="5"/>
        <v>0</v>
      </c>
      <c r="M50" s="68">
        <f t="shared" si="6"/>
        <v>0</v>
      </c>
      <c r="N50" s="65" t="str">
        <f t="shared" si="7"/>
        <v>hod</v>
      </c>
      <c r="O50" s="65"/>
      <c r="P50" s="69">
        <f t="shared" si="45"/>
        <v>700</v>
      </c>
      <c r="Q50" s="70">
        <f t="shared" si="8"/>
        <v>0</v>
      </c>
      <c r="S50" s="68">
        <f t="shared" si="9"/>
        <v>0</v>
      </c>
      <c r="T50" s="65" t="str">
        <f t="shared" si="10"/>
        <v>hod</v>
      </c>
      <c r="U50" s="65"/>
      <c r="V50" s="69">
        <f t="shared" si="46"/>
        <v>650</v>
      </c>
      <c r="W50" s="70">
        <f t="shared" si="11"/>
        <v>0</v>
      </c>
      <c r="Y50" s="68">
        <f t="shared" si="12"/>
        <v>0</v>
      </c>
      <c r="Z50" s="65" t="str">
        <f t="shared" si="13"/>
        <v>hod</v>
      </c>
      <c r="AA50" s="65"/>
      <c r="AB50" s="69">
        <f t="shared" si="47"/>
        <v>650</v>
      </c>
      <c r="AC50" s="70">
        <f t="shared" si="14"/>
        <v>0</v>
      </c>
      <c r="AE50" s="68">
        <f t="shared" si="15"/>
        <v>0</v>
      </c>
      <c r="AF50" s="65" t="str">
        <f t="shared" si="16"/>
        <v>hod</v>
      </c>
      <c r="AG50" s="65"/>
      <c r="AH50" s="69">
        <f t="shared" si="48"/>
        <v>700</v>
      </c>
      <c r="AI50" s="70">
        <f t="shared" si="17"/>
        <v>0</v>
      </c>
      <c r="AK50" s="68">
        <f t="shared" si="18"/>
        <v>0</v>
      </c>
      <c r="AL50" s="65" t="str">
        <f t="shared" si="19"/>
        <v>hod</v>
      </c>
      <c r="AM50" s="65"/>
      <c r="AN50" s="69">
        <f t="shared" si="49"/>
        <v>600</v>
      </c>
      <c r="AO50" s="70">
        <f t="shared" si="20"/>
        <v>0</v>
      </c>
      <c r="AQ50" s="68">
        <f t="shared" ref="AQ50:AR50" si="147">AK50</f>
        <v>0</v>
      </c>
      <c r="AR50" s="65" t="str">
        <f t="shared" si="147"/>
        <v>hod</v>
      </c>
      <c r="AS50" s="65"/>
      <c r="AT50" s="69">
        <f t="shared" si="51"/>
        <v>600</v>
      </c>
      <c r="AU50" s="70">
        <f t="shared" si="22"/>
        <v>0</v>
      </c>
      <c r="AW50" s="68">
        <f t="shared" si="23"/>
        <v>0</v>
      </c>
      <c r="AX50" s="65" t="str">
        <f t="shared" si="24"/>
        <v>hod</v>
      </c>
      <c r="AY50" s="65"/>
      <c r="AZ50" s="69">
        <f t="shared" si="52"/>
        <v>600</v>
      </c>
      <c r="BA50" s="70">
        <f t="shared" si="25"/>
        <v>0</v>
      </c>
      <c r="BC50" s="68">
        <f t="shared" si="26"/>
        <v>0</v>
      </c>
      <c r="BD50" s="65" t="str">
        <f t="shared" si="27"/>
        <v>hod</v>
      </c>
      <c r="BE50" s="65"/>
      <c r="BF50" s="69">
        <f t="shared" si="53"/>
        <v>600</v>
      </c>
      <c r="BG50" s="70">
        <f t="shared" si="28"/>
        <v>0</v>
      </c>
      <c r="BI50" s="68">
        <f t="shared" si="29"/>
        <v>0</v>
      </c>
      <c r="BJ50" s="65" t="str">
        <f t="shared" si="30"/>
        <v>hod</v>
      </c>
      <c r="BK50" s="65"/>
      <c r="BL50" s="69">
        <f t="shared" si="54"/>
        <v>800</v>
      </c>
      <c r="BM50" s="70">
        <f t="shared" si="31"/>
        <v>0</v>
      </c>
      <c r="BO50" s="68">
        <f t="shared" si="32"/>
        <v>0</v>
      </c>
      <c r="BP50" s="65" t="str">
        <f t="shared" si="33"/>
        <v>hod</v>
      </c>
      <c r="BQ50" s="65"/>
      <c r="BR50" s="69">
        <f t="shared" si="55"/>
        <v>650</v>
      </c>
      <c r="BS50" s="70">
        <f t="shared" si="34"/>
        <v>0</v>
      </c>
      <c r="BU50" s="68">
        <f t="shared" si="35"/>
        <v>0</v>
      </c>
      <c r="BV50" s="65" t="str">
        <f t="shared" si="36"/>
        <v>hod</v>
      </c>
      <c r="BW50" s="65"/>
      <c r="BX50" s="69">
        <f t="shared" si="56"/>
        <v>950</v>
      </c>
      <c r="BY50" s="70">
        <f t="shared" si="37"/>
        <v>0</v>
      </c>
      <c r="CA50" s="68">
        <f t="shared" si="38"/>
        <v>0</v>
      </c>
      <c r="CB50" s="65" t="str">
        <f t="shared" si="39"/>
        <v>hod</v>
      </c>
      <c r="CC50" s="65"/>
      <c r="CD50" s="69">
        <f t="shared" si="57"/>
        <v>600</v>
      </c>
      <c r="CE50" s="70">
        <f t="shared" si="40"/>
        <v>0</v>
      </c>
      <c r="CG50" s="68">
        <f t="shared" si="41"/>
        <v>0</v>
      </c>
      <c r="CH50" s="69">
        <f t="shared" si="58"/>
        <v>0</v>
      </c>
      <c r="CI50" s="85">
        <f t="shared" si="59"/>
        <v>0</v>
      </c>
    </row>
    <row r="51" ht="12.75" customHeight="1">
      <c r="A51" s="68">
        <v>0.0</v>
      </c>
      <c r="B51" s="65" t="s">
        <v>86</v>
      </c>
      <c r="C51" s="65"/>
      <c r="D51" s="69">
        <f t="shared" si="42"/>
        <v>500</v>
      </c>
      <c r="E51" s="70">
        <f t="shared" si="3"/>
        <v>0</v>
      </c>
      <c r="G51" s="68">
        <f t="shared" ref="G51:H51" si="148">A51</f>
        <v>0</v>
      </c>
      <c r="H51" s="65" t="str">
        <f t="shared" si="148"/>
        <v>hod</v>
      </c>
      <c r="I51" s="65"/>
      <c r="J51" s="69">
        <f t="shared" si="44"/>
        <v>400</v>
      </c>
      <c r="K51" s="70">
        <f t="shared" si="5"/>
        <v>0</v>
      </c>
      <c r="M51" s="68">
        <f t="shared" si="6"/>
        <v>0</v>
      </c>
      <c r="N51" s="65" t="str">
        <f t="shared" si="7"/>
        <v>hod</v>
      </c>
      <c r="O51" s="65"/>
      <c r="P51" s="69">
        <f t="shared" si="45"/>
        <v>700</v>
      </c>
      <c r="Q51" s="70">
        <f t="shared" si="8"/>
        <v>0</v>
      </c>
      <c r="S51" s="68">
        <f t="shared" si="9"/>
        <v>0</v>
      </c>
      <c r="T51" s="65" t="str">
        <f t="shared" si="10"/>
        <v>hod</v>
      </c>
      <c r="U51" s="65"/>
      <c r="V51" s="69">
        <f t="shared" si="46"/>
        <v>650</v>
      </c>
      <c r="W51" s="70">
        <f t="shared" si="11"/>
        <v>0</v>
      </c>
      <c r="Y51" s="68">
        <f t="shared" si="12"/>
        <v>0</v>
      </c>
      <c r="Z51" s="65" t="str">
        <f t="shared" si="13"/>
        <v>hod</v>
      </c>
      <c r="AA51" s="65"/>
      <c r="AB51" s="69">
        <f t="shared" si="47"/>
        <v>650</v>
      </c>
      <c r="AC51" s="70">
        <f t="shared" si="14"/>
        <v>0</v>
      </c>
      <c r="AE51" s="68">
        <f t="shared" si="15"/>
        <v>0</v>
      </c>
      <c r="AF51" s="65" t="str">
        <f t="shared" si="16"/>
        <v>hod</v>
      </c>
      <c r="AG51" s="65"/>
      <c r="AH51" s="69">
        <f t="shared" si="48"/>
        <v>700</v>
      </c>
      <c r="AI51" s="70">
        <f t="shared" si="17"/>
        <v>0</v>
      </c>
      <c r="AK51" s="68">
        <f t="shared" si="18"/>
        <v>0</v>
      </c>
      <c r="AL51" s="65" t="str">
        <f t="shared" si="19"/>
        <v>hod</v>
      </c>
      <c r="AM51" s="65"/>
      <c r="AN51" s="69">
        <f t="shared" si="49"/>
        <v>600</v>
      </c>
      <c r="AO51" s="70">
        <f t="shared" si="20"/>
        <v>0</v>
      </c>
      <c r="AQ51" s="68">
        <f t="shared" ref="AQ51:AR51" si="149">AK51</f>
        <v>0</v>
      </c>
      <c r="AR51" s="65" t="str">
        <f t="shared" si="149"/>
        <v>hod</v>
      </c>
      <c r="AS51" s="65"/>
      <c r="AT51" s="69">
        <f t="shared" si="51"/>
        <v>600</v>
      </c>
      <c r="AU51" s="70">
        <f t="shared" si="22"/>
        <v>0</v>
      </c>
      <c r="AW51" s="68">
        <f t="shared" si="23"/>
        <v>0</v>
      </c>
      <c r="AX51" s="65" t="str">
        <f t="shared" si="24"/>
        <v>hod</v>
      </c>
      <c r="AY51" s="65"/>
      <c r="AZ51" s="69">
        <f t="shared" si="52"/>
        <v>600</v>
      </c>
      <c r="BA51" s="70">
        <f t="shared" si="25"/>
        <v>0</v>
      </c>
      <c r="BC51" s="68">
        <f t="shared" si="26"/>
        <v>0</v>
      </c>
      <c r="BD51" s="65" t="str">
        <f t="shared" si="27"/>
        <v>hod</v>
      </c>
      <c r="BE51" s="65"/>
      <c r="BF51" s="69">
        <f t="shared" si="53"/>
        <v>600</v>
      </c>
      <c r="BG51" s="70">
        <f t="shared" si="28"/>
        <v>0</v>
      </c>
      <c r="BI51" s="68">
        <f t="shared" si="29"/>
        <v>0</v>
      </c>
      <c r="BJ51" s="65" t="str">
        <f t="shared" si="30"/>
        <v>hod</v>
      </c>
      <c r="BK51" s="65"/>
      <c r="BL51" s="69">
        <f t="shared" si="54"/>
        <v>800</v>
      </c>
      <c r="BM51" s="70">
        <f t="shared" si="31"/>
        <v>0</v>
      </c>
      <c r="BO51" s="68">
        <f t="shared" si="32"/>
        <v>0</v>
      </c>
      <c r="BP51" s="65" t="str">
        <f t="shared" si="33"/>
        <v>hod</v>
      </c>
      <c r="BQ51" s="65"/>
      <c r="BR51" s="69">
        <f t="shared" si="55"/>
        <v>650</v>
      </c>
      <c r="BS51" s="70">
        <f t="shared" si="34"/>
        <v>0</v>
      </c>
      <c r="BU51" s="68">
        <f t="shared" si="35"/>
        <v>0</v>
      </c>
      <c r="BV51" s="65" t="str">
        <f t="shared" si="36"/>
        <v>hod</v>
      </c>
      <c r="BW51" s="65"/>
      <c r="BX51" s="69">
        <f t="shared" si="56"/>
        <v>950</v>
      </c>
      <c r="BY51" s="70">
        <f t="shared" si="37"/>
        <v>0</v>
      </c>
      <c r="CA51" s="68">
        <f t="shared" si="38"/>
        <v>0</v>
      </c>
      <c r="CB51" s="65" t="str">
        <f t="shared" si="39"/>
        <v>hod</v>
      </c>
      <c r="CC51" s="65"/>
      <c r="CD51" s="69">
        <f t="shared" si="57"/>
        <v>600</v>
      </c>
      <c r="CE51" s="70">
        <f t="shared" si="40"/>
        <v>0</v>
      </c>
      <c r="CG51" s="68">
        <f t="shared" si="41"/>
        <v>0</v>
      </c>
      <c r="CH51" s="69">
        <f t="shared" si="58"/>
        <v>0</v>
      </c>
      <c r="CI51" s="85">
        <f t="shared" si="59"/>
        <v>0</v>
      </c>
    </row>
    <row r="52" ht="12.75" customHeight="1">
      <c r="A52" s="68">
        <v>0.0</v>
      </c>
      <c r="B52" s="65" t="s">
        <v>86</v>
      </c>
      <c r="C52" s="65"/>
      <c r="D52" s="69">
        <f t="shared" si="42"/>
        <v>500</v>
      </c>
      <c r="E52" s="70">
        <f t="shared" si="3"/>
        <v>0</v>
      </c>
      <c r="G52" s="68">
        <f t="shared" ref="G52:H52" si="150">A52</f>
        <v>0</v>
      </c>
      <c r="H52" s="65" t="str">
        <f t="shared" si="150"/>
        <v>hod</v>
      </c>
      <c r="I52" s="65"/>
      <c r="J52" s="69">
        <f t="shared" si="44"/>
        <v>400</v>
      </c>
      <c r="K52" s="70">
        <f t="shared" si="5"/>
        <v>0</v>
      </c>
      <c r="M52" s="68">
        <f t="shared" si="6"/>
        <v>0</v>
      </c>
      <c r="N52" s="65" t="str">
        <f t="shared" si="7"/>
        <v>hod</v>
      </c>
      <c r="O52" s="65"/>
      <c r="P52" s="69">
        <f t="shared" si="45"/>
        <v>700</v>
      </c>
      <c r="Q52" s="70">
        <f t="shared" si="8"/>
        <v>0</v>
      </c>
      <c r="S52" s="68">
        <f t="shared" si="9"/>
        <v>0</v>
      </c>
      <c r="T52" s="65" t="str">
        <f t="shared" si="10"/>
        <v>hod</v>
      </c>
      <c r="U52" s="65"/>
      <c r="V52" s="69">
        <f t="shared" si="46"/>
        <v>650</v>
      </c>
      <c r="W52" s="70">
        <f t="shared" si="11"/>
        <v>0</v>
      </c>
      <c r="Y52" s="68">
        <f t="shared" si="12"/>
        <v>0</v>
      </c>
      <c r="Z52" s="65" t="str">
        <f t="shared" si="13"/>
        <v>hod</v>
      </c>
      <c r="AA52" s="65"/>
      <c r="AB52" s="69">
        <f t="shared" si="47"/>
        <v>650</v>
      </c>
      <c r="AC52" s="70">
        <f t="shared" si="14"/>
        <v>0</v>
      </c>
      <c r="AE52" s="68">
        <f t="shared" si="15"/>
        <v>0</v>
      </c>
      <c r="AF52" s="65" t="str">
        <f t="shared" si="16"/>
        <v>hod</v>
      </c>
      <c r="AG52" s="65"/>
      <c r="AH52" s="69">
        <f t="shared" si="48"/>
        <v>700</v>
      </c>
      <c r="AI52" s="70">
        <f t="shared" si="17"/>
        <v>0</v>
      </c>
      <c r="AK52" s="68">
        <f t="shared" si="18"/>
        <v>0</v>
      </c>
      <c r="AL52" s="65" t="str">
        <f t="shared" si="19"/>
        <v>hod</v>
      </c>
      <c r="AM52" s="65"/>
      <c r="AN52" s="69">
        <f t="shared" si="49"/>
        <v>600</v>
      </c>
      <c r="AO52" s="70">
        <f t="shared" si="20"/>
        <v>0</v>
      </c>
      <c r="AQ52" s="68">
        <f t="shared" ref="AQ52:AR52" si="151">AK52</f>
        <v>0</v>
      </c>
      <c r="AR52" s="65" t="str">
        <f t="shared" si="151"/>
        <v>hod</v>
      </c>
      <c r="AS52" s="65"/>
      <c r="AT52" s="69">
        <f t="shared" si="51"/>
        <v>600</v>
      </c>
      <c r="AU52" s="70">
        <f t="shared" si="22"/>
        <v>0</v>
      </c>
      <c r="AW52" s="68">
        <f t="shared" si="23"/>
        <v>0</v>
      </c>
      <c r="AX52" s="65" t="str">
        <f t="shared" si="24"/>
        <v>hod</v>
      </c>
      <c r="AY52" s="65"/>
      <c r="AZ52" s="69">
        <f t="shared" si="52"/>
        <v>600</v>
      </c>
      <c r="BA52" s="70">
        <f t="shared" si="25"/>
        <v>0</v>
      </c>
      <c r="BC52" s="68">
        <f t="shared" si="26"/>
        <v>0</v>
      </c>
      <c r="BD52" s="65" t="str">
        <f t="shared" si="27"/>
        <v>hod</v>
      </c>
      <c r="BE52" s="65"/>
      <c r="BF52" s="69">
        <f t="shared" si="53"/>
        <v>600</v>
      </c>
      <c r="BG52" s="70">
        <f t="shared" si="28"/>
        <v>0</v>
      </c>
      <c r="BI52" s="68">
        <f t="shared" si="29"/>
        <v>0</v>
      </c>
      <c r="BJ52" s="65" t="str">
        <f t="shared" si="30"/>
        <v>hod</v>
      </c>
      <c r="BK52" s="65"/>
      <c r="BL52" s="69">
        <f t="shared" si="54"/>
        <v>800</v>
      </c>
      <c r="BM52" s="70">
        <f t="shared" si="31"/>
        <v>0</v>
      </c>
      <c r="BO52" s="68">
        <f t="shared" si="32"/>
        <v>0</v>
      </c>
      <c r="BP52" s="65" t="str">
        <f t="shared" si="33"/>
        <v>hod</v>
      </c>
      <c r="BQ52" s="65"/>
      <c r="BR52" s="69">
        <f t="shared" si="55"/>
        <v>650</v>
      </c>
      <c r="BS52" s="70">
        <f t="shared" si="34"/>
        <v>0</v>
      </c>
      <c r="BU52" s="68">
        <f t="shared" si="35"/>
        <v>0</v>
      </c>
      <c r="BV52" s="65" t="str">
        <f t="shared" si="36"/>
        <v>hod</v>
      </c>
      <c r="BW52" s="65"/>
      <c r="BX52" s="69">
        <f t="shared" si="56"/>
        <v>950</v>
      </c>
      <c r="BY52" s="70">
        <f t="shared" si="37"/>
        <v>0</v>
      </c>
      <c r="CA52" s="68">
        <f t="shared" si="38"/>
        <v>0</v>
      </c>
      <c r="CB52" s="65" t="str">
        <f t="shared" si="39"/>
        <v>hod</v>
      </c>
      <c r="CC52" s="65"/>
      <c r="CD52" s="69">
        <f t="shared" si="57"/>
        <v>600</v>
      </c>
      <c r="CE52" s="70">
        <f t="shared" si="40"/>
        <v>0</v>
      </c>
      <c r="CG52" s="68">
        <f t="shared" si="41"/>
        <v>0</v>
      </c>
      <c r="CH52" s="69">
        <f t="shared" si="58"/>
        <v>0</v>
      </c>
      <c r="CI52" s="85">
        <f t="shared" si="59"/>
        <v>0</v>
      </c>
    </row>
    <row r="53" ht="12.75" customHeight="1">
      <c r="A53" s="68">
        <v>0.0</v>
      </c>
      <c r="B53" s="65" t="s">
        <v>86</v>
      </c>
      <c r="C53" s="65"/>
      <c r="D53" s="69">
        <f t="shared" si="42"/>
        <v>500</v>
      </c>
      <c r="E53" s="70">
        <f t="shared" si="3"/>
        <v>0</v>
      </c>
      <c r="G53" s="68">
        <f t="shared" ref="G53:H53" si="152">A53</f>
        <v>0</v>
      </c>
      <c r="H53" s="65" t="str">
        <f t="shared" si="152"/>
        <v>hod</v>
      </c>
      <c r="I53" s="65"/>
      <c r="J53" s="69">
        <f t="shared" si="44"/>
        <v>400</v>
      </c>
      <c r="K53" s="70">
        <f t="shared" si="5"/>
        <v>0</v>
      </c>
      <c r="M53" s="68">
        <f t="shared" si="6"/>
        <v>0</v>
      </c>
      <c r="N53" s="65" t="str">
        <f t="shared" si="7"/>
        <v>hod</v>
      </c>
      <c r="O53" s="65"/>
      <c r="P53" s="69">
        <f t="shared" si="45"/>
        <v>700</v>
      </c>
      <c r="Q53" s="70">
        <f t="shared" si="8"/>
        <v>0</v>
      </c>
      <c r="S53" s="68">
        <f t="shared" si="9"/>
        <v>0</v>
      </c>
      <c r="T53" s="65" t="str">
        <f t="shared" si="10"/>
        <v>hod</v>
      </c>
      <c r="U53" s="65"/>
      <c r="V53" s="69">
        <f t="shared" si="46"/>
        <v>650</v>
      </c>
      <c r="W53" s="70">
        <f t="shared" si="11"/>
        <v>0</v>
      </c>
      <c r="Y53" s="68">
        <f t="shared" si="12"/>
        <v>0</v>
      </c>
      <c r="Z53" s="65" t="str">
        <f t="shared" si="13"/>
        <v>hod</v>
      </c>
      <c r="AA53" s="65"/>
      <c r="AB53" s="69">
        <f t="shared" si="47"/>
        <v>650</v>
      </c>
      <c r="AC53" s="70">
        <f t="shared" si="14"/>
        <v>0</v>
      </c>
      <c r="AE53" s="68">
        <f t="shared" si="15"/>
        <v>0</v>
      </c>
      <c r="AF53" s="65" t="str">
        <f t="shared" si="16"/>
        <v>hod</v>
      </c>
      <c r="AG53" s="65"/>
      <c r="AH53" s="69">
        <f t="shared" si="48"/>
        <v>700</v>
      </c>
      <c r="AI53" s="70">
        <f t="shared" si="17"/>
        <v>0</v>
      </c>
      <c r="AK53" s="68">
        <f t="shared" si="18"/>
        <v>0</v>
      </c>
      <c r="AL53" s="65" t="str">
        <f t="shared" si="19"/>
        <v>hod</v>
      </c>
      <c r="AM53" s="65"/>
      <c r="AN53" s="69">
        <f t="shared" si="49"/>
        <v>600</v>
      </c>
      <c r="AO53" s="70">
        <f t="shared" si="20"/>
        <v>0</v>
      </c>
      <c r="AQ53" s="68">
        <f t="shared" ref="AQ53:AR53" si="153">AK53</f>
        <v>0</v>
      </c>
      <c r="AR53" s="65" t="str">
        <f t="shared" si="153"/>
        <v>hod</v>
      </c>
      <c r="AS53" s="65"/>
      <c r="AT53" s="69">
        <f t="shared" si="51"/>
        <v>600</v>
      </c>
      <c r="AU53" s="70">
        <f t="shared" si="22"/>
        <v>0</v>
      </c>
      <c r="AW53" s="68">
        <f t="shared" si="23"/>
        <v>0</v>
      </c>
      <c r="AX53" s="65" t="str">
        <f t="shared" si="24"/>
        <v>hod</v>
      </c>
      <c r="AY53" s="65"/>
      <c r="AZ53" s="69">
        <f t="shared" si="52"/>
        <v>600</v>
      </c>
      <c r="BA53" s="70">
        <f t="shared" si="25"/>
        <v>0</v>
      </c>
      <c r="BC53" s="68">
        <f t="shared" si="26"/>
        <v>0</v>
      </c>
      <c r="BD53" s="65" t="str">
        <f t="shared" si="27"/>
        <v>hod</v>
      </c>
      <c r="BE53" s="65"/>
      <c r="BF53" s="69">
        <f t="shared" si="53"/>
        <v>600</v>
      </c>
      <c r="BG53" s="70">
        <f t="shared" si="28"/>
        <v>0</v>
      </c>
      <c r="BI53" s="68">
        <f t="shared" si="29"/>
        <v>0</v>
      </c>
      <c r="BJ53" s="65" t="str">
        <f t="shared" si="30"/>
        <v>hod</v>
      </c>
      <c r="BK53" s="65"/>
      <c r="BL53" s="69">
        <f t="shared" si="54"/>
        <v>800</v>
      </c>
      <c r="BM53" s="70">
        <f t="shared" si="31"/>
        <v>0</v>
      </c>
      <c r="BO53" s="68">
        <f t="shared" si="32"/>
        <v>0</v>
      </c>
      <c r="BP53" s="65" t="str">
        <f t="shared" si="33"/>
        <v>hod</v>
      </c>
      <c r="BQ53" s="65"/>
      <c r="BR53" s="69">
        <f t="shared" si="55"/>
        <v>650</v>
      </c>
      <c r="BS53" s="70">
        <f t="shared" si="34"/>
        <v>0</v>
      </c>
      <c r="BU53" s="68">
        <f t="shared" si="35"/>
        <v>0</v>
      </c>
      <c r="BV53" s="65" t="str">
        <f t="shared" si="36"/>
        <v>hod</v>
      </c>
      <c r="BW53" s="65"/>
      <c r="BX53" s="69">
        <f t="shared" si="56"/>
        <v>950</v>
      </c>
      <c r="BY53" s="70">
        <f t="shared" si="37"/>
        <v>0</v>
      </c>
      <c r="CA53" s="68">
        <f t="shared" si="38"/>
        <v>0</v>
      </c>
      <c r="CB53" s="65" t="str">
        <f t="shared" si="39"/>
        <v>hod</v>
      </c>
      <c r="CC53" s="65"/>
      <c r="CD53" s="69">
        <f t="shared" si="57"/>
        <v>600</v>
      </c>
      <c r="CE53" s="70">
        <f t="shared" si="40"/>
        <v>0</v>
      </c>
      <c r="CG53" s="68">
        <f t="shared" si="41"/>
        <v>0</v>
      </c>
      <c r="CH53" s="69">
        <f t="shared" si="58"/>
        <v>0</v>
      </c>
      <c r="CI53" s="85">
        <f t="shared" si="59"/>
        <v>0</v>
      </c>
    </row>
    <row r="54" ht="12.75" customHeight="1">
      <c r="A54" s="68">
        <v>0.0</v>
      </c>
      <c r="B54" s="65" t="s">
        <v>86</v>
      </c>
      <c r="C54" s="65"/>
      <c r="D54" s="69">
        <f t="shared" si="42"/>
        <v>500</v>
      </c>
      <c r="E54" s="70">
        <f t="shared" si="3"/>
        <v>0</v>
      </c>
      <c r="G54" s="68">
        <f t="shared" ref="G54:H54" si="154">A54</f>
        <v>0</v>
      </c>
      <c r="H54" s="65" t="str">
        <f t="shared" si="154"/>
        <v>hod</v>
      </c>
      <c r="I54" s="65"/>
      <c r="J54" s="69">
        <f t="shared" si="44"/>
        <v>400</v>
      </c>
      <c r="K54" s="70">
        <f t="shared" si="5"/>
        <v>0</v>
      </c>
      <c r="M54" s="68">
        <f t="shared" si="6"/>
        <v>0</v>
      </c>
      <c r="N54" s="65" t="str">
        <f t="shared" si="7"/>
        <v>hod</v>
      </c>
      <c r="O54" s="65"/>
      <c r="P54" s="69">
        <f t="shared" si="45"/>
        <v>700</v>
      </c>
      <c r="Q54" s="70">
        <f t="shared" si="8"/>
        <v>0</v>
      </c>
      <c r="S54" s="68">
        <f t="shared" si="9"/>
        <v>0</v>
      </c>
      <c r="T54" s="65" t="str">
        <f t="shared" si="10"/>
        <v>hod</v>
      </c>
      <c r="U54" s="65"/>
      <c r="V54" s="69">
        <f t="shared" si="46"/>
        <v>650</v>
      </c>
      <c r="W54" s="70">
        <f t="shared" si="11"/>
        <v>0</v>
      </c>
      <c r="Y54" s="68">
        <f t="shared" si="12"/>
        <v>0</v>
      </c>
      <c r="Z54" s="65" t="str">
        <f t="shared" si="13"/>
        <v>hod</v>
      </c>
      <c r="AA54" s="65"/>
      <c r="AB54" s="69">
        <f t="shared" si="47"/>
        <v>650</v>
      </c>
      <c r="AC54" s="70">
        <f t="shared" si="14"/>
        <v>0</v>
      </c>
      <c r="AE54" s="68">
        <f t="shared" si="15"/>
        <v>0</v>
      </c>
      <c r="AF54" s="65" t="str">
        <f t="shared" si="16"/>
        <v>hod</v>
      </c>
      <c r="AG54" s="65"/>
      <c r="AH54" s="69">
        <f t="shared" si="48"/>
        <v>700</v>
      </c>
      <c r="AI54" s="70">
        <f t="shared" si="17"/>
        <v>0</v>
      </c>
      <c r="AK54" s="68">
        <f t="shared" si="18"/>
        <v>0</v>
      </c>
      <c r="AL54" s="65" t="str">
        <f t="shared" si="19"/>
        <v>hod</v>
      </c>
      <c r="AM54" s="65"/>
      <c r="AN54" s="69">
        <f t="shared" si="49"/>
        <v>600</v>
      </c>
      <c r="AO54" s="70">
        <f t="shared" si="20"/>
        <v>0</v>
      </c>
      <c r="AQ54" s="68">
        <f t="shared" ref="AQ54:AR54" si="155">AK54</f>
        <v>0</v>
      </c>
      <c r="AR54" s="65" t="str">
        <f t="shared" si="155"/>
        <v>hod</v>
      </c>
      <c r="AS54" s="65"/>
      <c r="AT54" s="69">
        <f t="shared" si="51"/>
        <v>600</v>
      </c>
      <c r="AU54" s="70">
        <f t="shared" si="22"/>
        <v>0</v>
      </c>
      <c r="AW54" s="68">
        <f t="shared" si="23"/>
        <v>0</v>
      </c>
      <c r="AX54" s="65" t="str">
        <f t="shared" si="24"/>
        <v>hod</v>
      </c>
      <c r="AY54" s="65"/>
      <c r="AZ54" s="69">
        <f t="shared" si="52"/>
        <v>600</v>
      </c>
      <c r="BA54" s="70">
        <f t="shared" si="25"/>
        <v>0</v>
      </c>
      <c r="BC54" s="68">
        <f t="shared" si="26"/>
        <v>0</v>
      </c>
      <c r="BD54" s="65" t="str">
        <f t="shared" si="27"/>
        <v>hod</v>
      </c>
      <c r="BE54" s="65"/>
      <c r="BF54" s="69">
        <f t="shared" si="53"/>
        <v>600</v>
      </c>
      <c r="BG54" s="70">
        <f t="shared" si="28"/>
        <v>0</v>
      </c>
      <c r="BI54" s="68">
        <f t="shared" si="29"/>
        <v>0</v>
      </c>
      <c r="BJ54" s="65" t="str">
        <f t="shared" si="30"/>
        <v>hod</v>
      </c>
      <c r="BK54" s="65"/>
      <c r="BL54" s="69">
        <f t="shared" si="54"/>
        <v>800</v>
      </c>
      <c r="BM54" s="70">
        <f t="shared" si="31"/>
        <v>0</v>
      </c>
      <c r="BO54" s="68">
        <f t="shared" si="32"/>
        <v>0</v>
      </c>
      <c r="BP54" s="65" t="str">
        <f t="shared" si="33"/>
        <v>hod</v>
      </c>
      <c r="BQ54" s="65"/>
      <c r="BR54" s="69">
        <f t="shared" si="55"/>
        <v>650</v>
      </c>
      <c r="BS54" s="70">
        <f t="shared" si="34"/>
        <v>0</v>
      </c>
      <c r="BU54" s="68">
        <f t="shared" si="35"/>
        <v>0</v>
      </c>
      <c r="BV54" s="65" t="str">
        <f t="shared" si="36"/>
        <v>hod</v>
      </c>
      <c r="BW54" s="65"/>
      <c r="BX54" s="69">
        <f t="shared" si="56"/>
        <v>950</v>
      </c>
      <c r="BY54" s="70">
        <f t="shared" si="37"/>
        <v>0</v>
      </c>
      <c r="CA54" s="68">
        <f t="shared" si="38"/>
        <v>0</v>
      </c>
      <c r="CB54" s="65" t="str">
        <f t="shared" si="39"/>
        <v>hod</v>
      </c>
      <c r="CC54" s="65"/>
      <c r="CD54" s="69">
        <f t="shared" si="57"/>
        <v>600</v>
      </c>
      <c r="CE54" s="70">
        <f t="shared" si="40"/>
        <v>0</v>
      </c>
      <c r="CG54" s="68">
        <f t="shared" si="41"/>
        <v>0</v>
      </c>
      <c r="CH54" s="69">
        <f t="shared" si="58"/>
        <v>0</v>
      </c>
      <c r="CI54" s="85">
        <f t="shared" si="59"/>
        <v>0</v>
      </c>
    </row>
    <row r="55" ht="12.75" customHeight="1">
      <c r="A55" s="94" t="s">
        <v>103</v>
      </c>
      <c r="B55" s="95" t="s">
        <v>104</v>
      </c>
      <c r="C55" s="70">
        <f>SUM(C4:C54)</f>
        <v>0</v>
      </c>
      <c r="D55" s="95" t="s">
        <v>104</v>
      </c>
      <c r="E55" s="70">
        <f>SUM(E4:E54)</f>
        <v>0</v>
      </c>
      <c r="G55" s="110" t="str">
        <f>A55</f>
        <v>Celkem</v>
      </c>
      <c r="H55" s="95" t="s">
        <v>104</v>
      </c>
      <c r="I55" s="70">
        <f>SUM(I4:I54)</f>
        <v>0</v>
      </c>
      <c r="J55" s="95" t="s">
        <v>104</v>
      </c>
      <c r="K55" s="70">
        <f>SUM(K4:K54)</f>
        <v>0</v>
      </c>
      <c r="M55" s="110" t="str">
        <f t="shared" si="6"/>
        <v>Celkem</v>
      </c>
      <c r="N55" s="95" t="s">
        <v>104</v>
      </c>
      <c r="O55" s="70">
        <f>SUM(O4:O54)</f>
        <v>0</v>
      </c>
      <c r="P55" s="95" t="s">
        <v>104</v>
      </c>
      <c r="Q55" s="70">
        <f>SUM(Q4:Q54)</f>
        <v>0</v>
      </c>
      <c r="S55" s="94" t="s">
        <v>103</v>
      </c>
      <c r="T55" s="95" t="s">
        <v>104</v>
      </c>
      <c r="U55" s="70">
        <f>SUM(U4:U54)</f>
        <v>0</v>
      </c>
      <c r="V55" s="95" t="s">
        <v>104</v>
      </c>
      <c r="W55" s="70">
        <f>SUM(W4:W54)</f>
        <v>0</v>
      </c>
      <c r="Y55" s="94" t="s">
        <v>103</v>
      </c>
      <c r="Z55" s="95" t="s">
        <v>104</v>
      </c>
      <c r="AA55" s="70">
        <f>SUM(AA4:AA54)</f>
        <v>0</v>
      </c>
      <c r="AB55" s="95" t="s">
        <v>104</v>
      </c>
      <c r="AC55" s="70">
        <f>SUM(AC4:AC54)</f>
        <v>0</v>
      </c>
      <c r="AE55" s="110" t="str">
        <f>Y55</f>
        <v>Celkem</v>
      </c>
      <c r="AF55" s="95" t="s">
        <v>104</v>
      </c>
      <c r="AG55" s="70">
        <f>SUM(AG4:AG54)</f>
        <v>0</v>
      </c>
      <c r="AH55" s="95" t="s">
        <v>104</v>
      </c>
      <c r="AI55" s="70">
        <f>SUM(AI4:AI54)</f>
        <v>0</v>
      </c>
      <c r="AK55" s="110" t="str">
        <f>AE55</f>
        <v>Celkem</v>
      </c>
      <c r="AL55" s="95" t="s">
        <v>104</v>
      </c>
      <c r="AM55" s="70">
        <f>SUM(AM4:AM54)</f>
        <v>0</v>
      </c>
      <c r="AN55" s="95" t="s">
        <v>104</v>
      </c>
      <c r="AO55" s="70">
        <f>SUM(AO4:AO54)</f>
        <v>0</v>
      </c>
      <c r="AQ55" s="110" t="str">
        <f>AK55</f>
        <v>Celkem</v>
      </c>
      <c r="AR55" s="95" t="s">
        <v>104</v>
      </c>
      <c r="AS55" s="70">
        <f>SUM(AS4:AS54)</f>
        <v>0</v>
      </c>
      <c r="AT55" s="95" t="s">
        <v>104</v>
      </c>
      <c r="AU55" s="70">
        <f>SUM(AU4:AU54)</f>
        <v>0</v>
      </c>
      <c r="AW55" s="110" t="str">
        <f>Y55</f>
        <v>Celkem</v>
      </c>
      <c r="AX55" s="95" t="s">
        <v>104</v>
      </c>
      <c r="AY55" s="70">
        <f>SUM(AY4:AY54)</f>
        <v>0</v>
      </c>
      <c r="AZ55" s="95" t="s">
        <v>104</v>
      </c>
      <c r="BA55" s="70">
        <f>SUM(BA4:BA54)</f>
        <v>0</v>
      </c>
      <c r="BC55" s="94" t="s">
        <v>103</v>
      </c>
      <c r="BD55" s="95" t="s">
        <v>104</v>
      </c>
      <c r="BE55" s="70">
        <f>SUM(BE4:BE54)</f>
        <v>0</v>
      </c>
      <c r="BF55" s="95" t="s">
        <v>104</v>
      </c>
      <c r="BG55" s="70">
        <f>SUM(BG4:BG54)</f>
        <v>0</v>
      </c>
      <c r="BI55" s="94" t="s">
        <v>103</v>
      </c>
      <c r="BJ55" s="95" t="s">
        <v>104</v>
      </c>
      <c r="BK55" s="70">
        <f>SUM(BK4:BK54)</f>
        <v>0</v>
      </c>
      <c r="BL55" s="95" t="s">
        <v>104</v>
      </c>
      <c r="BM55" s="70">
        <f>SUM(BM4:BM54)</f>
        <v>0</v>
      </c>
      <c r="BO55" s="94" t="s">
        <v>103</v>
      </c>
      <c r="BP55" s="95" t="s">
        <v>104</v>
      </c>
      <c r="BQ55" s="70">
        <f>SUM(BQ4:BQ54)</f>
        <v>0</v>
      </c>
      <c r="BR55" s="95" t="s">
        <v>104</v>
      </c>
      <c r="BS55" s="70">
        <f>SUM(BS4:BS54)</f>
        <v>0</v>
      </c>
      <c r="BU55" s="94" t="s">
        <v>103</v>
      </c>
      <c r="BV55" s="95" t="s">
        <v>104</v>
      </c>
      <c r="BW55" s="70">
        <f>SUM(BW4:BW54)</f>
        <v>0</v>
      </c>
      <c r="BX55" s="95" t="s">
        <v>104</v>
      </c>
      <c r="BY55" s="70">
        <f>SUM(BY4:BY54)</f>
        <v>0</v>
      </c>
      <c r="CA55" s="94" t="s">
        <v>103</v>
      </c>
      <c r="CB55" s="95" t="s">
        <v>104</v>
      </c>
      <c r="CC55" s="70">
        <f>SUM(CC4:CC54)</f>
        <v>0</v>
      </c>
      <c r="CD55" s="95" t="s">
        <v>104</v>
      </c>
      <c r="CE55" s="70">
        <f>SUM(CE4:CE54)</f>
        <v>0</v>
      </c>
      <c r="CG55" s="67"/>
      <c r="CH55" s="69">
        <f t="shared" ref="CH55:CI55" si="156">SUM(CH4:CH54)</f>
        <v>0</v>
      </c>
      <c r="CI55" s="70">
        <f t="shared" si="156"/>
        <v>0</v>
      </c>
    </row>
    <row r="56" ht="12.75" customHeight="1">
      <c r="E56" s="63"/>
      <c r="CI56" s="63"/>
    </row>
    <row r="57" ht="12.75" customHeight="1">
      <c r="E57" s="63"/>
      <c r="CI57" s="63"/>
    </row>
    <row r="58" ht="12.75" customHeight="1">
      <c r="E58" s="63"/>
      <c r="CI58" s="63"/>
    </row>
    <row r="59" ht="12.75" customHeight="1">
      <c r="E59" s="63"/>
      <c r="CI59" s="63"/>
    </row>
    <row r="60" ht="12.75" customHeight="1">
      <c r="E60" s="63"/>
      <c r="CI60" s="63"/>
    </row>
    <row r="61" ht="12.75" customHeight="1">
      <c r="E61" s="63"/>
      <c r="CI61" s="63"/>
    </row>
    <row r="62" ht="12.75" customHeight="1">
      <c r="E62" s="63"/>
      <c r="CI62" s="63"/>
    </row>
    <row r="63" ht="12.75" customHeight="1">
      <c r="E63" s="63"/>
      <c r="CI63" s="63"/>
    </row>
    <row r="64" ht="12.75" customHeight="1">
      <c r="E64" s="63"/>
      <c r="CI64" s="63"/>
    </row>
    <row r="65" ht="12.75" customHeight="1">
      <c r="E65" s="63"/>
      <c r="CI65" s="63"/>
    </row>
    <row r="66" ht="6.0" customHeight="1">
      <c r="E66" s="63"/>
      <c r="CI66" s="63"/>
    </row>
    <row r="67" ht="12.75" customHeight="1">
      <c r="A67" s="108" t="str">
        <f>A3</f>
        <v>Martin</v>
      </c>
      <c r="B67" s="109">
        <f>E55</f>
        <v>0</v>
      </c>
      <c r="E67" s="63"/>
      <c r="CI67" s="63"/>
    </row>
    <row r="68" ht="12.75" customHeight="1">
      <c r="A68" s="108" t="str">
        <f>G3</f>
        <v>Vlaďka</v>
      </c>
      <c r="B68" s="109">
        <f>K55</f>
        <v>0</v>
      </c>
      <c r="E68" s="63"/>
      <c r="CI68" s="63"/>
    </row>
    <row r="69" ht="12.75" customHeight="1">
      <c r="A69" s="108" t="str">
        <f>M3</f>
        <v/>
      </c>
      <c r="B69" s="109">
        <f>Q55</f>
        <v>0</v>
      </c>
      <c r="E69" s="63"/>
      <c r="CI69" s="63"/>
    </row>
    <row r="70" ht="12.75" customHeight="1">
      <c r="A70" s="108" t="str">
        <f>S3</f>
        <v/>
      </c>
      <c r="B70" s="109">
        <f>W55</f>
        <v>0</v>
      </c>
      <c r="E70" s="63"/>
      <c r="CI70" s="63"/>
    </row>
    <row r="71" ht="12.75" customHeight="1">
      <c r="A71" s="108" t="str">
        <f>Y3</f>
        <v/>
      </c>
      <c r="B71" s="109">
        <f>AC55</f>
        <v>0</v>
      </c>
      <c r="E71" s="63"/>
      <c r="CI71" s="63"/>
    </row>
    <row r="72" ht="12.75" customHeight="1">
      <c r="A72" s="108" t="str">
        <f>AE3</f>
        <v/>
      </c>
      <c r="B72" s="109">
        <f>AI55</f>
        <v>0</v>
      </c>
      <c r="E72" s="63"/>
      <c r="CI72" s="63"/>
    </row>
    <row r="73" ht="12.75" customHeight="1">
      <c r="A73" s="108" t="str">
        <f>AK3</f>
        <v/>
      </c>
      <c r="B73" s="109">
        <f>AO55</f>
        <v>0</v>
      </c>
      <c r="E73" s="63"/>
      <c r="CI73" s="63"/>
    </row>
    <row r="74" ht="12.75" customHeight="1">
      <c r="A74" s="108" t="str">
        <f>AQ3</f>
        <v/>
      </c>
      <c r="B74" s="109">
        <f>AU55</f>
        <v>0</v>
      </c>
      <c r="E74" s="63"/>
      <c r="CI74" s="63"/>
    </row>
    <row r="75" ht="12.75" customHeight="1">
      <c r="A75" s="108" t="str">
        <f>AW3</f>
        <v/>
      </c>
      <c r="B75" s="109">
        <f>BA55</f>
        <v>0</v>
      </c>
      <c r="E75" s="63"/>
      <c r="CI75" s="63"/>
    </row>
    <row r="76" ht="12.75" customHeight="1">
      <c r="A76" s="108" t="str">
        <f>BC3</f>
        <v/>
      </c>
      <c r="B76" s="109">
        <f>BG55</f>
        <v>0</v>
      </c>
      <c r="E76" s="63"/>
      <c r="CI76" s="63"/>
    </row>
    <row r="77" ht="12.75" customHeight="1">
      <c r="A77" s="108" t="str">
        <f>BI3</f>
        <v/>
      </c>
      <c r="B77" s="109">
        <f>BM55</f>
        <v>0</v>
      </c>
      <c r="E77" s="63"/>
      <c r="CI77" s="63"/>
    </row>
    <row r="78" ht="12.75" customHeight="1">
      <c r="A78" s="108" t="str">
        <f>BO3</f>
        <v/>
      </c>
      <c r="B78" s="109">
        <f>BS55</f>
        <v>0</v>
      </c>
      <c r="E78" s="63"/>
      <c r="CI78" s="63"/>
    </row>
    <row r="79" ht="12.75" customHeight="1">
      <c r="A79" s="108" t="str">
        <f>BU3</f>
        <v/>
      </c>
      <c r="B79" s="109">
        <f>BY55</f>
        <v>0</v>
      </c>
      <c r="E79" s="63"/>
      <c r="CI79" s="63"/>
    </row>
    <row r="80" ht="12.75" customHeight="1">
      <c r="A80" s="108" t="str">
        <f>CA3</f>
        <v/>
      </c>
      <c r="B80" s="109">
        <f>CE55</f>
        <v>0</v>
      </c>
      <c r="E80" s="63"/>
      <c r="CI80" s="63"/>
    </row>
    <row r="81" ht="12.75" customHeight="1">
      <c r="A81" s="110" t="str">
        <f>A55</f>
        <v>Celkem</v>
      </c>
      <c r="B81" s="111">
        <f>SUM(B67:B80)</f>
        <v>0</v>
      </c>
      <c r="E81" s="63"/>
      <c r="CI81" s="63"/>
    </row>
    <row r="82" ht="12.75" customHeight="1">
      <c r="CI82" s="63"/>
    </row>
    <row r="83" ht="12.75" customHeight="1">
      <c r="CI83" s="63"/>
    </row>
    <row r="84" ht="12.75" customHeight="1">
      <c r="CI84" s="63"/>
    </row>
    <row r="85" ht="12.75" customHeight="1">
      <c r="CI85" s="63"/>
    </row>
    <row r="86" ht="12.75" customHeight="1">
      <c r="CI86" s="63"/>
    </row>
    <row r="87" ht="12.75" customHeight="1">
      <c r="CI87" s="63"/>
    </row>
    <row r="88" ht="12.75" customHeight="1">
      <c r="CI88" s="63"/>
    </row>
    <row r="89" ht="12.75" customHeight="1">
      <c r="CI89" s="63"/>
    </row>
    <row r="90" ht="12.75" customHeight="1">
      <c r="CI90" s="63"/>
    </row>
    <row r="91" ht="12.75" customHeight="1">
      <c r="CI91" s="63"/>
    </row>
    <row r="92" ht="12.75" customHeight="1">
      <c r="CI92" s="63"/>
    </row>
    <row r="93" ht="12.75" customHeight="1">
      <c r="CI93" s="63"/>
    </row>
    <row r="94" ht="12.75" customHeight="1">
      <c r="CI94" s="63"/>
    </row>
    <row r="95" ht="12.75" customHeight="1">
      <c r="CI95" s="63"/>
    </row>
    <row r="96" ht="12.75" customHeight="1">
      <c r="CI96" s="63"/>
    </row>
    <row r="97" ht="12.75" customHeight="1">
      <c r="CI97" s="63"/>
    </row>
    <row r="98" ht="12.75" customHeight="1">
      <c r="CI98" s="63"/>
    </row>
    <row r="99" ht="12.75" customHeight="1">
      <c r="CI99" s="63"/>
    </row>
    <row r="100" ht="12.75" customHeight="1">
      <c r="CI100" s="63"/>
    </row>
    <row r="101" ht="12.75" customHeight="1">
      <c r="CI101" s="63"/>
    </row>
    <row r="102" ht="12.75" customHeight="1">
      <c r="CI102" s="63"/>
    </row>
    <row r="103" ht="12.75" customHeight="1">
      <c r="CI103" s="63"/>
    </row>
    <row r="104" ht="12.75" customHeight="1">
      <c r="CI104" s="63"/>
    </row>
    <row r="105" ht="12.75" customHeight="1">
      <c r="CI105" s="63"/>
    </row>
    <row r="106" ht="12.75" customHeight="1">
      <c r="CI106" s="63"/>
    </row>
    <row r="107" ht="12.75" customHeight="1">
      <c r="CI107" s="63"/>
    </row>
    <row r="108" ht="12.75" customHeight="1">
      <c r="CI108" s="63"/>
    </row>
    <row r="109" ht="12.75" customHeight="1">
      <c r="CI109" s="63"/>
    </row>
    <row r="110" ht="12.75" customHeight="1">
      <c r="CI110" s="63"/>
    </row>
    <row r="111" ht="12.75" customHeight="1">
      <c r="CI111" s="63"/>
    </row>
    <row r="112" ht="12.75" customHeight="1">
      <c r="CI112" s="63"/>
    </row>
    <row r="113" ht="12.75" customHeight="1">
      <c r="CI113" s="63"/>
    </row>
    <row r="114" ht="12.75" customHeight="1">
      <c r="CI114" s="63"/>
    </row>
    <row r="115" ht="12.75" customHeight="1">
      <c r="CI115" s="63"/>
    </row>
    <row r="116" ht="12.75" customHeight="1">
      <c r="CI116" s="63"/>
    </row>
    <row r="117" ht="12.75" customHeight="1">
      <c r="CI117" s="63"/>
    </row>
    <row r="118" ht="12.75" customHeight="1">
      <c r="CI118" s="63"/>
    </row>
    <row r="119" ht="12.75" customHeight="1">
      <c r="CI119" s="63"/>
    </row>
    <row r="120" ht="12.75" customHeight="1">
      <c r="CI120" s="63"/>
    </row>
    <row r="121" ht="12.75" customHeight="1">
      <c r="CI121" s="63"/>
    </row>
    <row r="122" ht="12.75" customHeight="1">
      <c r="CI122" s="63"/>
    </row>
    <row r="123" ht="12.75" customHeight="1">
      <c r="CI123" s="63"/>
    </row>
    <row r="124" ht="12.75" customHeight="1">
      <c r="CI124" s="63"/>
    </row>
    <row r="125" ht="12.75" customHeight="1">
      <c r="CI125" s="63"/>
    </row>
    <row r="126" ht="12.75" customHeight="1">
      <c r="CI126" s="63"/>
    </row>
    <row r="127" ht="12.75" customHeight="1">
      <c r="CI127" s="63"/>
    </row>
    <row r="128" ht="12.75" customHeight="1">
      <c r="CI128" s="63"/>
    </row>
    <row r="129" ht="12.75" customHeight="1">
      <c r="CI129" s="63"/>
    </row>
    <row r="130" ht="12.75" customHeight="1">
      <c r="CI130" s="63"/>
    </row>
    <row r="131" ht="12.75" customHeight="1">
      <c r="CI131" s="63"/>
    </row>
    <row r="132" ht="12.75" customHeight="1">
      <c r="CI132" s="63"/>
    </row>
    <row r="133" ht="12.75" customHeight="1">
      <c r="CI133" s="63"/>
    </row>
    <row r="134" ht="12.75" customHeight="1">
      <c r="CI134" s="63"/>
    </row>
    <row r="135" ht="12.75" customHeight="1">
      <c r="CI135" s="63"/>
    </row>
    <row r="136" ht="12.75" customHeight="1">
      <c r="CI136" s="63"/>
    </row>
    <row r="137" ht="12.75" customHeight="1">
      <c r="CI137" s="63"/>
    </row>
    <row r="138" ht="12.75" customHeight="1">
      <c r="CI138" s="63"/>
    </row>
    <row r="139" ht="12.75" customHeight="1">
      <c r="CI139" s="63"/>
    </row>
    <row r="140" ht="12.75" customHeight="1">
      <c r="CI140" s="63"/>
    </row>
    <row r="141" ht="12.75" customHeight="1">
      <c r="CI141" s="63"/>
    </row>
    <row r="142" ht="12.75" customHeight="1">
      <c r="CI142" s="63"/>
    </row>
    <row r="143" ht="12.75" customHeight="1">
      <c r="CI143" s="63"/>
    </row>
    <row r="144" ht="12.75" customHeight="1">
      <c r="CI144" s="63"/>
    </row>
    <row r="145" ht="12.75" customHeight="1">
      <c r="CI145" s="63"/>
    </row>
    <row r="146" ht="12.75" customHeight="1">
      <c r="CI146" s="63"/>
    </row>
    <row r="147" ht="12.75" customHeight="1">
      <c r="CI147" s="63"/>
    </row>
    <row r="148" ht="12.75" customHeight="1">
      <c r="CI148" s="63"/>
    </row>
    <row r="149" ht="12.75" customHeight="1">
      <c r="CI149" s="63"/>
    </row>
    <row r="150" ht="12.75" customHeight="1">
      <c r="CI150" s="63"/>
    </row>
    <row r="151" ht="12.75" customHeight="1">
      <c r="CI151" s="63"/>
    </row>
    <row r="152" ht="12.75" customHeight="1">
      <c r="CI152" s="63"/>
    </row>
    <row r="153" ht="12.75" customHeight="1">
      <c r="CI153" s="63"/>
    </row>
    <row r="154" ht="12.75" customHeight="1">
      <c r="CI154" s="63"/>
    </row>
    <row r="155" ht="12.75" customHeight="1">
      <c r="CI155" s="63"/>
    </row>
    <row r="156" ht="12.75" customHeight="1">
      <c r="CI156" s="63"/>
    </row>
    <row r="157" ht="12.75" customHeight="1">
      <c r="CI157" s="63"/>
    </row>
    <row r="158" ht="12.75" customHeight="1">
      <c r="CI158" s="63"/>
    </row>
    <row r="159" ht="12.75" customHeight="1">
      <c r="CI159" s="63"/>
    </row>
    <row r="160" ht="12.75" customHeight="1">
      <c r="CI160" s="63"/>
    </row>
    <row r="161" ht="12.75" customHeight="1">
      <c r="CI161" s="63"/>
    </row>
    <row r="162" ht="12.75" customHeight="1">
      <c r="CI162" s="63"/>
    </row>
    <row r="163" ht="12.75" customHeight="1">
      <c r="CI163" s="63"/>
    </row>
    <row r="164" ht="12.75" customHeight="1">
      <c r="CI164" s="63"/>
    </row>
    <row r="165" ht="12.75" customHeight="1">
      <c r="CI165" s="63"/>
    </row>
    <row r="166" ht="12.75" customHeight="1">
      <c r="CI166" s="63"/>
    </row>
    <row r="167" ht="12.75" customHeight="1">
      <c r="CI167" s="63"/>
    </row>
    <row r="168" ht="12.75" customHeight="1">
      <c r="CI168" s="63"/>
    </row>
    <row r="169" ht="12.75" customHeight="1">
      <c r="CI169" s="63"/>
    </row>
    <row r="170" ht="12.75" customHeight="1">
      <c r="CI170" s="63"/>
    </row>
    <row r="171" ht="12.75" customHeight="1">
      <c r="CI171" s="63"/>
    </row>
    <row r="172" ht="12.75" customHeight="1">
      <c r="CI172" s="63"/>
    </row>
    <row r="173" ht="12.75" customHeight="1">
      <c r="CI173" s="63"/>
    </row>
    <row r="174" ht="12.75" customHeight="1">
      <c r="CI174" s="63"/>
    </row>
    <row r="175" ht="12.75" customHeight="1">
      <c r="CI175" s="63"/>
    </row>
    <row r="176" ht="12.75" customHeight="1">
      <c r="CI176" s="63"/>
    </row>
    <row r="177" ht="12.75" customHeight="1">
      <c r="CI177" s="63"/>
    </row>
    <row r="178" ht="12.75" customHeight="1">
      <c r="CI178" s="63"/>
    </row>
    <row r="179" ht="12.75" customHeight="1">
      <c r="CI179" s="63"/>
    </row>
    <row r="180" ht="12.75" customHeight="1">
      <c r="CI180" s="63"/>
    </row>
    <row r="181" ht="12.75" customHeight="1">
      <c r="CI181" s="63"/>
    </row>
    <row r="182" ht="12.75" customHeight="1">
      <c r="CI182" s="63"/>
    </row>
    <row r="183" ht="12.75" customHeight="1">
      <c r="CI183" s="63"/>
    </row>
    <row r="184" ht="12.75" customHeight="1">
      <c r="CI184" s="63"/>
    </row>
    <row r="185" ht="12.75" customHeight="1">
      <c r="CI185" s="63"/>
    </row>
    <row r="186" ht="12.75" customHeight="1">
      <c r="CI186" s="63"/>
    </row>
    <row r="187" ht="12.75" customHeight="1">
      <c r="CI187" s="63"/>
    </row>
    <row r="188" ht="12.75" customHeight="1">
      <c r="CI188" s="63"/>
    </row>
    <row r="189" ht="12.75" customHeight="1">
      <c r="CI189" s="63"/>
    </row>
    <row r="190" ht="12.75" customHeight="1">
      <c r="CI190" s="63"/>
    </row>
    <row r="191" ht="12.75" customHeight="1">
      <c r="CI191" s="63"/>
    </row>
    <row r="192" ht="12.75" customHeight="1">
      <c r="CI192" s="63"/>
    </row>
    <row r="193" ht="12.75" customHeight="1">
      <c r="CI193" s="63"/>
    </row>
    <row r="194" ht="12.75" customHeight="1">
      <c r="CI194" s="63"/>
    </row>
    <row r="195" ht="12.75" customHeight="1">
      <c r="CI195" s="63"/>
    </row>
    <row r="196" ht="12.75" customHeight="1">
      <c r="CI196" s="63"/>
    </row>
    <row r="197" ht="12.75" customHeight="1">
      <c r="CI197" s="63"/>
    </row>
    <row r="198" ht="12.75" customHeight="1">
      <c r="CI198" s="63"/>
    </row>
    <row r="199" ht="12.75" customHeight="1">
      <c r="CI199" s="63"/>
    </row>
    <row r="200" ht="12.75" customHeight="1">
      <c r="CI200" s="63"/>
    </row>
    <row r="201" ht="12.75" customHeight="1">
      <c r="CI201" s="63"/>
    </row>
    <row r="202" ht="12.75" customHeight="1">
      <c r="CI202" s="63"/>
    </row>
    <row r="203" ht="12.75" customHeight="1">
      <c r="CI203" s="63"/>
    </row>
    <row r="204" ht="12.75" customHeight="1">
      <c r="CI204" s="63"/>
    </row>
    <row r="205" ht="12.75" customHeight="1">
      <c r="CI205" s="63"/>
    </row>
    <row r="206" ht="12.75" customHeight="1">
      <c r="CI206" s="63"/>
    </row>
    <row r="207" ht="12.75" customHeight="1">
      <c r="CI207" s="63"/>
    </row>
    <row r="208" ht="12.75" customHeight="1">
      <c r="CI208" s="63"/>
    </row>
    <row r="209" ht="12.75" customHeight="1">
      <c r="CI209" s="63"/>
    </row>
    <row r="210" ht="12.75" customHeight="1">
      <c r="CI210" s="63"/>
    </row>
    <row r="211" ht="12.75" customHeight="1">
      <c r="CI211" s="63"/>
    </row>
    <row r="212" ht="12.75" customHeight="1">
      <c r="CI212" s="63"/>
    </row>
    <row r="213" ht="12.75" customHeight="1">
      <c r="CI213" s="63"/>
    </row>
    <row r="214" ht="12.75" customHeight="1">
      <c r="CI214" s="63"/>
    </row>
    <row r="215" ht="12.75" customHeight="1">
      <c r="CI215" s="63"/>
    </row>
    <row r="216" ht="12.75" customHeight="1">
      <c r="CI216" s="63"/>
    </row>
    <row r="217" ht="12.75" customHeight="1">
      <c r="CI217" s="63"/>
    </row>
    <row r="218" ht="12.75" customHeight="1">
      <c r="CI218" s="63"/>
    </row>
    <row r="219" ht="12.75" customHeight="1">
      <c r="CI219" s="63"/>
    </row>
    <row r="220" ht="12.75" customHeight="1">
      <c r="CI220" s="63"/>
    </row>
    <row r="221" ht="12.75" customHeight="1">
      <c r="CI221" s="63"/>
    </row>
    <row r="222" ht="12.75" customHeight="1">
      <c r="CI222" s="63"/>
    </row>
    <row r="223" ht="12.75" customHeight="1">
      <c r="CI223" s="63"/>
    </row>
    <row r="224" ht="12.75" customHeight="1">
      <c r="CI224" s="63"/>
    </row>
    <row r="225" ht="12.75" customHeight="1">
      <c r="CI225" s="63"/>
    </row>
    <row r="226" ht="12.75" customHeight="1">
      <c r="CI226" s="63"/>
    </row>
    <row r="227" ht="12.75" customHeight="1">
      <c r="CI227" s="63"/>
    </row>
    <row r="228" ht="12.75" customHeight="1">
      <c r="CI228" s="63"/>
    </row>
    <row r="229" ht="12.75" customHeight="1">
      <c r="CI229" s="63"/>
    </row>
    <row r="230" ht="12.75" customHeight="1">
      <c r="CI230" s="63"/>
    </row>
    <row r="231" ht="12.75" customHeight="1">
      <c r="CI231" s="63"/>
    </row>
    <row r="232" ht="12.75" customHeight="1">
      <c r="CI232" s="63"/>
    </row>
    <row r="233" ht="12.75" customHeight="1">
      <c r="CI233" s="63"/>
    </row>
    <row r="234" ht="12.75" customHeight="1">
      <c r="CI234" s="63"/>
    </row>
    <row r="235" ht="12.75" customHeight="1">
      <c r="CI235" s="63"/>
    </row>
    <row r="236" ht="12.75" customHeight="1">
      <c r="CI236" s="63"/>
    </row>
    <row r="237" ht="12.75" customHeight="1">
      <c r="CI237" s="63"/>
    </row>
    <row r="238" ht="12.75" customHeight="1">
      <c r="CI238" s="63"/>
    </row>
    <row r="239" ht="12.75" customHeight="1">
      <c r="CI239" s="63"/>
    </row>
    <row r="240" ht="12.75" customHeight="1">
      <c r="CI240" s="63"/>
    </row>
    <row r="241" ht="12.75" customHeight="1">
      <c r="CI241" s="63"/>
    </row>
    <row r="242" ht="12.75" customHeight="1">
      <c r="CI242" s="63"/>
    </row>
    <row r="243" ht="12.75" customHeight="1">
      <c r="CI243" s="63"/>
    </row>
    <row r="244" ht="12.75" customHeight="1">
      <c r="CI244" s="63"/>
    </row>
    <row r="245" ht="12.75" customHeight="1">
      <c r="CI245" s="63"/>
    </row>
    <row r="246" ht="12.75" customHeight="1">
      <c r="CI246" s="63"/>
    </row>
    <row r="247" ht="12.75" customHeight="1">
      <c r="CI247" s="63"/>
    </row>
    <row r="248" ht="12.75" customHeight="1">
      <c r="CI248" s="63"/>
    </row>
    <row r="249" ht="12.75" customHeight="1">
      <c r="CI249" s="63"/>
    </row>
    <row r="250" ht="12.75" customHeight="1">
      <c r="CI250" s="63"/>
    </row>
    <row r="251" ht="12.75" customHeight="1">
      <c r="CI251" s="63"/>
    </row>
    <row r="252" ht="12.75" customHeight="1">
      <c r="CI252" s="63"/>
    </row>
    <row r="253" ht="12.75" customHeight="1">
      <c r="CI253" s="63"/>
    </row>
    <row r="254" ht="12.75" customHeight="1">
      <c r="CI254" s="63"/>
    </row>
    <row r="255" ht="12.75" customHeight="1">
      <c r="CI255" s="63"/>
    </row>
    <row r="256" ht="12.75" customHeight="1">
      <c r="CI256" s="63"/>
    </row>
    <row r="257" ht="12.75" customHeight="1">
      <c r="CI257" s="63"/>
    </row>
    <row r="258" ht="12.75" customHeight="1">
      <c r="CI258" s="63"/>
    </row>
    <row r="259" ht="12.75" customHeight="1">
      <c r="CI259" s="63"/>
    </row>
    <row r="260" ht="12.75" customHeight="1">
      <c r="CI260" s="63"/>
    </row>
    <row r="261" ht="12.75" customHeight="1">
      <c r="CI261" s="63"/>
    </row>
    <row r="262" ht="12.75" customHeight="1">
      <c r="CI262" s="63"/>
    </row>
    <row r="263" ht="12.75" customHeight="1">
      <c r="CI263" s="63"/>
    </row>
    <row r="264" ht="12.75" customHeight="1">
      <c r="CI264" s="63"/>
    </row>
    <row r="265" ht="12.75" customHeight="1">
      <c r="CI265" s="63"/>
    </row>
    <row r="266" ht="12.75" customHeight="1">
      <c r="CI266" s="63"/>
    </row>
    <row r="267" ht="12.75" customHeight="1">
      <c r="CI267" s="63"/>
    </row>
    <row r="268" ht="12.75" customHeight="1">
      <c r="CI268" s="63"/>
    </row>
    <row r="269" ht="12.75" customHeight="1">
      <c r="CI269" s="63"/>
    </row>
    <row r="270" ht="12.75" customHeight="1">
      <c r="CI270" s="63"/>
    </row>
    <row r="271" ht="12.75" customHeight="1">
      <c r="CI271" s="63"/>
    </row>
    <row r="272" ht="12.75" customHeight="1">
      <c r="CI272" s="63"/>
    </row>
    <row r="273" ht="12.75" customHeight="1">
      <c r="CI273" s="63"/>
    </row>
    <row r="274" ht="12.75" customHeight="1">
      <c r="CI274" s="63"/>
    </row>
    <row r="275" ht="12.75" customHeight="1">
      <c r="CI275" s="63"/>
    </row>
    <row r="276" ht="12.75" customHeight="1">
      <c r="CI276" s="63"/>
    </row>
    <row r="277" ht="12.75" customHeight="1">
      <c r="CI277" s="63"/>
    </row>
    <row r="278" ht="12.75" customHeight="1">
      <c r="CI278" s="63"/>
    </row>
    <row r="279" ht="12.75" customHeight="1">
      <c r="CI279" s="63"/>
    </row>
    <row r="280" ht="12.75" customHeight="1">
      <c r="CI280" s="63"/>
    </row>
    <row r="281" ht="12.75" customHeight="1">
      <c r="CI281" s="63"/>
    </row>
    <row r="282" ht="12.75" customHeight="1">
      <c r="CI282" s="63"/>
    </row>
    <row r="283" ht="12.75" customHeight="1">
      <c r="CI283" s="63"/>
    </row>
    <row r="284" ht="12.75" customHeight="1">
      <c r="CI284" s="63"/>
    </row>
    <row r="285" ht="12.75" customHeight="1">
      <c r="CI285" s="63"/>
    </row>
    <row r="286" ht="12.75" customHeight="1">
      <c r="CI286" s="63"/>
    </row>
    <row r="287" ht="12.75" customHeight="1">
      <c r="CI287" s="63"/>
    </row>
    <row r="288" ht="12.75" customHeight="1">
      <c r="CI288" s="63"/>
    </row>
    <row r="289" ht="12.75" customHeight="1">
      <c r="CI289" s="63"/>
    </row>
    <row r="290" ht="12.75" customHeight="1">
      <c r="CI290" s="63"/>
    </row>
    <row r="291" ht="12.75" customHeight="1">
      <c r="CI291" s="63"/>
    </row>
    <row r="292" ht="12.75" customHeight="1">
      <c r="CI292" s="63"/>
    </row>
    <row r="293" ht="12.75" customHeight="1">
      <c r="CI293" s="63"/>
    </row>
    <row r="294" ht="12.75" customHeight="1">
      <c r="CI294" s="63"/>
    </row>
    <row r="295" ht="12.75" customHeight="1">
      <c r="CI295" s="63"/>
    </row>
    <row r="296" ht="12.75" customHeight="1">
      <c r="CI296" s="63"/>
    </row>
    <row r="297" ht="12.75" customHeight="1">
      <c r="CI297" s="63"/>
    </row>
    <row r="298" ht="12.75" customHeight="1">
      <c r="CI298" s="63"/>
    </row>
    <row r="299" ht="12.75" customHeight="1">
      <c r="CI299" s="63"/>
    </row>
    <row r="300" ht="12.75" customHeight="1">
      <c r="CI300" s="63"/>
    </row>
    <row r="301" ht="12.75" customHeight="1">
      <c r="CI301" s="63"/>
    </row>
    <row r="302" ht="12.75" customHeight="1">
      <c r="CI302" s="63"/>
    </row>
    <row r="303" ht="12.75" customHeight="1">
      <c r="CI303" s="63"/>
    </row>
    <row r="304" ht="12.75" customHeight="1">
      <c r="CI304" s="63"/>
    </row>
    <row r="305" ht="12.75" customHeight="1">
      <c r="CI305" s="63"/>
    </row>
    <row r="306" ht="12.75" customHeight="1">
      <c r="CI306" s="63"/>
    </row>
    <row r="307" ht="12.75" customHeight="1">
      <c r="CI307" s="63"/>
    </row>
    <row r="308" ht="12.75" customHeight="1">
      <c r="CI308" s="63"/>
    </row>
    <row r="309" ht="12.75" customHeight="1">
      <c r="CI309" s="63"/>
    </row>
    <row r="310" ht="12.75" customHeight="1">
      <c r="CI310" s="63"/>
    </row>
    <row r="311" ht="12.75" customHeight="1">
      <c r="CI311" s="63"/>
    </row>
    <row r="312" ht="12.75" customHeight="1">
      <c r="CI312" s="63"/>
    </row>
    <row r="313" ht="12.75" customHeight="1">
      <c r="CI313" s="63"/>
    </row>
    <row r="314" ht="12.75" customHeight="1">
      <c r="CI314" s="63"/>
    </row>
    <row r="315" ht="12.75" customHeight="1">
      <c r="CI315" s="63"/>
    </row>
    <row r="316" ht="12.75" customHeight="1">
      <c r="CI316" s="63"/>
    </row>
    <row r="317" ht="12.75" customHeight="1">
      <c r="CI317" s="63"/>
    </row>
    <row r="318" ht="12.75" customHeight="1">
      <c r="CI318" s="63"/>
    </row>
    <row r="319" ht="12.75" customHeight="1">
      <c r="CI319" s="63"/>
    </row>
    <row r="320" ht="12.75" customHeight="1">
      <c r="CI320" s="63"/>
    </row>
    <row r="321" ht="12.75" customHeight="1">
      <c r="CI321" s="63"/>
    </row>
    <row r="322" ht="12.75" customHeight="1">
      <c r="CI322" s="63"/>
    </row>
    <row r="323" ht="12.75" customHeight="1">
      <c r="CI323" s="63"/>
    </row>
    <row r="324" ht="12.75" customHeight="1">
      <c r="CI324" s="63"/>
    </row>
    <row r="325" ht="12.75" customHeight="1">
      <c r="CI325" s="63"/>
    </row>
    <row r="326" ht="12.75" customHeight="1">
      <c r="CI326" s="63"/>
    </row>
    <row r="327" ht="12.75" customHeight="1">
      <c r="CI327" s="63"/>
    </row>
    <row r="328" ht="12.75" customHeight="1">
      <c r="CI328" s="63"/>
    </row>
    <row r="329" ht="12.75" customHeight="1">
      <c r="CI329" s="63"/>
    </row>
    <row r="330" ht="12.75" customHeight="1">
      <c r="CI330" s="63"/>
    </row>
    <row r="331" ht="12.75" customHeight="1">
      <c r="CI331" s="63"/>
    </row>
    <row r="332" ht="12.75" customHeight="1">
      <c r="CI332" s="63"/>
    </row>
    <row r="333" ht="12.75" customHeight="1">
      <c r="CI333" s="63"/>
    </row>
    <row r="334" ht="12.75" customHeight="1">
      <c r="CI334" s="63"/>
    </row>
    <row r="335" ht="12.75" customHeight="1">
      <c r="CI335" s="63"/>
    </row>
    <row r="336" ht="12.75" customHeight="1">
      <c r="CI336" s="63"/>
    </row>
    <row r="337" ht="12.75" customHeight="1">
      <c r="CI337" s="63"/>
    </row>
    <row r="338" ht="12.75" customHeight="1">
      <c r="CI338" s="63"/>
    </row>
    <row r="339" ht="12.75" customHeight="1">
      <c r="CI339" s="63"/>
    </row>
    <row r="340" ht="12.75" customHeight="1">
      <c r="CI340" s="63"/>
    </row>
    <row r="341" ht="12.75" customHeight="1">
      <c r="CI341" s="63"/>
    </row>
    <row r="342" ht="12.75" customHeight="1">
      <c r="CI342" s="63"/>
    </row>
    <row r="343" ht="12.75" customHeight="1">
      <c r="CI343" s="63"/>
    </row>
    <row r="344" ht="12.75" customHeight="1">
      <c r="CI344" s="63"/>
    </row>
    <row r="345" ht="12.75" customHeight="1">
      <c r="CI345" s="63"/>
    </row>
    <row r="346" ht="12.75" customHeight="1">
      <c r="CI346" s="63"/>
    </row>
    <row r="347" ht="12.75" customHeight="1">
      <c r="CI347" s="63"/>
    </row>
    <row r="348" ht="12.75" customHeight="1">
      <c r="CI348" s="63"/>
    </row>
    <row r="349" ht="12.75" customHeight="1">
      <c r="CI349" s="63"/>
    </row>
    <row r="350" ht="12.75" customHeight="1">
      <c r="CI350" s="63"/>
    </row>
    <row r="351" ht="12.75" customHeight="1">
      <c r="CI351" s="63"/>
    </row>
    <row r="352" ht="12.75" customHeight="1">
      <c r="CI352" s="63"/>
    </row>
    <row r="353" ht="12.75" customHeight="1">
      <c r="CI353" s="63"/>
    </row>
    <row r="354" ht="12.75" customHeight="1">
      <c r="CI354" s="63"/>
    </row>
    <row r="355" ht="12.75" customHeight="1">
      <c r="CI355" s="63"/>
    </row>
    <row r="356" ht="12.75" customHeight="1">
      <c r="CI356" s="63"/>
    </row>
    <row r="357" ht="12.75" customHeight="1">
      <c r="CI357" s="63"/>
    </row>
    <row r="358" ht="12.75" customHeight="1">
      <c r="CI358" s="63"/>
    </row>
    <row r="359" ht="12.75" customHeight="1">
      <c r="CI359" s="63"/>
    </row>
    <row r="360" ht="12.75" customHeight="1">
      <c r="CI360" s="63"/>
    </row>
    <row r="361" ht="12.75" customHeight="1">
      <c r="CI361" s="63"/>
    </row>
    <row r="362" ht="12.75" customHeight="1">
      <c r="CI362" s="63"/>
    </row>
    <row r="363" ht="12.75" customHeight="1">
      <c r="CI363" s="63"/>
    </row>
    <row r="364" ht="12.75" customHeight="1">
      <c r="CI364" s="63"/>
    </row>
    <row r="365" ht="12.75" customHeight="1">
      <c r="CI365" s="63"/>
    </row>
    <row r="366" ht="12.75" customHeight="1">
      <c r="CI366" s="63"/>
    </row>
    <row r="367" ht="12.75" customHeight="1">
      <c r="CI367" s="63"/>
    </row>
    <row r="368" ht="12.75" customHeight="1">
      <c r="CI368" s="63"/>
    </row>
    <row r="369" ht="12.75" customHeight="1">
      <c r="CI369" s="63"/>
    </row>
    <row r="370" ht="12.75" customHeight="1">
      <c r="CI370" s="63"/>
    </row>
    <row r="371" ht="12.75" customHeight="1">
      <c r="CI371" s="63"/>
    </row>
    <row r="372" ht="12.75" customHeight="1">
      <c r="CI372" s="63"/>
    </row>
    <row r="373" ht="12.75" customHeight="1">
      <c r="CI373" s="63"/>
    </row>
    <row r="374" ht="12.75" customHeight="1">
      <c r="CI374" s="63"/>
    </row>
    <row r="375" ht="12.75" customHeight="1">
      <c r="CI375" s="63"/>
    </row>
    <row r="376" ht="12.75" customHeight="1">
      <c r="CI376" s="63"/>
    </row>
    <row r="377" ht="12.75" customHeight="1">
      <c r="CI377" s="63"/>
    </row>
    <row r="378" ht="12.75" customHeight="1">
      <c r="CI378" s="63"/>
    </row>
    <row r="379" ht="12.75" customHeight="1">
      <c r="CI379" s="63"/>
    </row>
    <row r="380" ht="12.75" customHeight="1">
      <c r="CI380" s="63"/>
    </row>
    <row r="381" ht="12.75" customHeight="1">
      <c r="CI381" s="63"/>
    </row>
    <row r="382" ht="12.75" customHeight="1">
      <c r="CI382" s="63"/>
    </row>
    <row r="383" ht="12.75" customHeight="1">
      <c r="CI383" s="63"/>
    </row>
    <row r="384" ht="12.75" customHeight="1">
      <c r="CI384" s="63"/>
    </row>
    <row r="385" ht="12.75" customHeight="1">
      <c r="CI385" s="63"/>
    </row>
    <row r="386" ht="12.75" customHeight="1">
      <c r="CI386" s="63"/>
    </row>
    <row r="387" ht="12.75" customHeight="1">
      <c r="CI387" s="63"/>
    </row>
    <row r="388" ht="12.75" customHeight="1">
      <c r="CI388" s="63"/>
    </row>
    <row r="389" ht="12.75" customHeight="1">
      <c r="CI389" s="63"/>
    </row>
    <row r="390" ht="12.75" customHeight="1">
      <c r="CI390" s="63"/>
    </row>
    <row r="391" ht="12.75" customHeight="1">
      <c r="CI391" s="63"/>
    </row>
    <row r="392" ht="12.75" customHeight="1">
      <c r="CI392" s="63"/>
    </row>
    <row r="393" ht="12.75" customHeight="1">
      <c r="CI393" s="63"/>
    </row>
    <row r="394" ht="12.75" customHeight="1">
      <c r="CI394" s="63"/>
    </row>
    <row r="395" ht="12.75" customHeight="1">
      <c r="CI395" s="63"/>
    </row>
    <row r="396" ht="12.75" customHeight="1">
      <c r="CI396" s="63"/>
    </row>
    <row r="397" ht="12.75" customHeight="1">
      <c r="CI397" s="63"/>
    </row>
    <row r="398" ht="12.75" customHeight="1">
      <c r="CI398" s="63"/>
    </row>
    <row r="399" ht="12.75" customHeight="1">
      <c r="CI399" s="63"/>
    </row>
    <row r="400" ht="12.75" customHeight="1">
      <c r="CI400" s="63"/>
    </row>
    <row r="401" ht="12.75" customHeight="1">
      <c r="CI401" s="63"/>
    </row>
    <row r="402" ht="12.75" customHeight="1">
      <c r="CI402" s="63"/>
    </row>
    <row r="403" ht="12.75" customHeight="1">
      <c r="CI403" s="63"/>
    </row>
    <row r="404" ht="12.75" customHeight="1">
      <c r="CI404" s="63"/>
    </row>
    <row r="405" ht="12.75" customHeight="1">
      <c r="CI405" s="63"/>
    </row>
    <row r="406" ht="12.75" customHeight="1">
      <c r="CI406" s="63"/>
    </row>
    <row r="407" ht="12.75" customHeight="1">
      <c r="CI407" s="63"/>
    </row>
    <row r="408" ht="12.75" customHeight="1">
      <c r="CI408" s="63"/>
    </row>
    <row r="409" ht="12.75" customHeight="1">
      <c r="CI409" s="63"/>
    </row>
    <row r="410" ht="12.75" customHeight="1">
      <c r="CI410" s="63"/>
    </row>
    <row r="411" ht="12.75" customHeight="1">
      <c r="CI411" s="63"/>
    </row>
    <row r="412" ht="12.75" customHeight="1">
      <c r="CI412" s="63"/>
    </row>
    <row r="413" ht="12.75" customHeight="1">
      <c r="CI413" s="63"/>
    </row>
    <row r="414" ht="12.75" customHeight="1">
      <c r="CI414" s="63"/>
    </row>
    <row r="415" ht="12.75" customHeight="1">
      <c r="CI415" s="63"/>
    </row>
    <row r="416" ht="12.75" customHeight="1">
      <c r="CI416" s="63"/>
    </row>
    <row r="417" ht="12.75" customHeight="1">
      <c r="CI417" s="63"/>
    </row>
    <row r="418" ht="12.75" customHeight="1">
      <c r="CI418" s="63"/>
    </row>
    <row r="419" ht="12.75" customHeight="1">
      <c r="CI419" s="63"/>
    </row>
    <row r="420" ht="12.75" customHeight="1">
      <c r="CI420" s="63"/>
    </row>
    <row r="421" ht="12.75" customHeight="1">
      <c r="CI421" s="63"/>
    </row>
    <row r="422" ht="12.75" customHeight="1">
      <c r="CI422" s="63"/>
    </row>
    <row r="423" ht="12.75" customHeight="1">
      <c r="CI423" s="63"/>
    </row>
    <row r="424" ht="12.75" customHeight="1">
      <c r="CI424" s="63"/>
    </row>
    <row r="425" ht="12.75" customHeight="1">
      <c r="CI425" s="63"/>
    </row>
    <row r="426" ht="12.75" customHeight="1">
      <c r="CI426" s="63"/>
    </row>
    <row r="427" ht="12.75" customHeight="1">
      <c r="CI427" s="63"/>
    </row>
    <row r="428" ht="12.75" customHeight="1">
      <c r="CI428" s="63"/>
    </row>
    <row r="429" ht="12.75" customHeight="1">
      <c r="CI429" s="63"/>
    </row>
    <row r="430" ht="12.75" customHeight="1">
      <c r="CI430" s="63"/>
    </row>
    <row r="431" ht="12.75" customHeight="1">
      <c r="CI431" s="63"/>
    </row>
    <row r="432" ht="12.75" customHeight="1">
      <c r="CI432" s="63"/>
    </row>
    <row r="433" ht="12.75" customHeight="1">
      <c r="CI433" s="63"/>
    </row>
    <row r="434" ht="12.75" customHeight="1">
      <c r="CI434" s="63"/>
    </row>
    <row r="435" ht="12.75" customHeight="1">
      <c r="CI435" s="63"/>
    </row>
    <row r="436" ht="12.75" customHeight="1">
      <c r="CI436" s="63"/>
    </row>
    <row r="437" ht="12.75" customHeight="1">
      <c r="CI437" s="63"/>
    </row>
    <row r="438" ht="12.75" customHeight="1">
      <c r="CI438" s="63"/>
    </row>
    <row r="439" ht="12.75" customHeight="1">
      <c r="CI439" s="63"/>
    </row>
    <row r="440" ht="12.75" customHeight="1">
      <c r="CI440" s="63"/>
    </row>
    <row r="441" ht="12.75" customHeight="1">
      <c r="CI441" s="63"/>
    </row>
    <row r="442" ht="12.75" customHeight="1">
      <c r="CI442" s="63"/>
    </row>
    <row r="443" ht="12.75" customHeight="1">
      <c r="CI443" s="63"/>
    </row>
    <row r="444" ht="12.75" customHeight="1">
      <c r="CI444" s="63"/>
    </row>
    <row r="445" ht="12.75" customHeight="1">
      <c r="CI445" s="63"/>
    </row>
    <row r="446" ht="12.75" customHeight="1">
      <c r="CI446" s="63"/>
    </row>
    <row r="447" ht="12.75" customHeight="1">
      <c r="CI447" s="63"/>
    </row>
    <row r="448" ht="12.75" customHeight="1">
      <c r="CI448" s="63"/>
    </row>
    <row r="449" ht="12.75" customHeight="1">
      <c r="CI449" s="63"/>
    </row>
    <row r="450" ht="12.75" customHeight="1">
      <c r="CI450" s="63"/>
    </row>
    <row r="451" ht="12.75" customHeight="1">
      <c r="CI451" s="63"/>
    </row>
    <row r="452" ht="12.75" customHeight="1">
      <c r="CI452" s="63"/>
    </row>
    <row r="453" ht="12.75" customHeight="1">
      <c r="CI453" s="63"/>
    </row>
    <row r="454" ht="12.75" customHeight="1">
      <c r="CI454" s="63"/>
    </row>
    <row r="455" ht="12.75" customHeight="1">
      <c r="CI455" s="63"/>
    </row>
    <row r="456" ht="12.75" customHeight="1">
      <c r="CI456" s="63"/>
    </row>
    <row r="457" ht="12.75" customHeight="1">
      <c r="CI457" s="63"/>
    </row>
    <row r="458" ht="12.75" customHeight="1">
      <c r="CI458" s="63"/>
    </row>
    <row r="459" ht="12.75" customHeight="1">
      <c r="CI459" s="63"/>
    </row>
    <row r="460" ht="12.75" customHeight="1">
      <c r="CI460" s="63"/>
    </row>
    <row r="461" ht="12.75" customHeight="1">
      <c r="CI461" s="63"/>
    </row>
    <row r="462" ht="12.75" customHeight="1">
      <c r="CI462" s="63"/>
    </row>
    <row r="463" ht="12.75" customHeight="1">
      <c r="CI463" s="63"/>
    </row>
    <row r="464" ht="12.75" customHeight="1">
      <c r="CI464" s="63"/>
    </row>
    <row r="465" ht="12.75" customHeight="1">
      <c r="CI465" s="63"/>
    </row>
    <row r="466" ht="12.75" customHeight="1">
      <c r="CI466" s="63"/>
    </row>
    <row r="467" ht="12.75" customHeight="1">
      <c r="CI467" s="63"/>
    </row>
    <row r="468" ht="12.75" customHeight="1">
      <c r="CI468" s="63"/>
    </row>
    <row r="469" ht="12.75" customHeight="1">
      <c r="CI469" s="63"/>
    </row>
    <row r="470" ht="12.75" customHeight="1">
      <c r="CI470" s="63"/>
    </row>
    <row r="471" ht="12.75" customHeight="1">
      <c r="CI471" s="63"/>
    </row>
    <row r="472" ht="12.75" customHeight="1">
      <c r="CI472" s="63"/>
    </row>
    <row r="473" ht="12.75" customHeight="1">
      <c r="CI473" s="63"/>
    </row>
    <row r="474" ht="12.75" customHeight="1">
      <c r="CI474" s="63"/>
    </row>
    <row r="475" ht="12.75" customHeight="1">
      <c r="CI475" s="63"/>
    </row>
    <row r="476" ht="12.75" customHeight="1">
      <c r="CI476" s="63"/>
    </row>
    <row r="477" ht="12.75" customHeight="1">
      <c r="CI477" s="63"/>
    </row>
    <row r="478" ht="12.75" customHeight="1">
      <c r="CI478" s="63"/>
    </row>
    <row r="479" ht="12.75" customHeight="1">
      <c r="CI479" s="63"/>
    </row>
    <row r="480" ht="12.75" customHeight="1">
      <c r="CI480" s="63"/>
    </row>
    <row r="481" ht="12.75" customHeight="1">
      <c r="CI481" s="63"/>
    </row>
    <row r="482" ht="12.75" customHeight="1">
      <c r="CI482" s="63"/>
    </row>
    <row r="483" ht="12.75" customHeight="1">
      <c r="CI483" s="63"/>
    </row>
    <row r="484" ht="12.75" customHeight="1">
      <c r="CI484" s="63"/>
    </row>
    <row r="485" ht="12.75" customHeight="1">
      <c r="CI485" s="63"/>
    </row>
    <row r="486" ht="12.75" customHeight="1">
      <c r="CI486" s="63"/>
    </row>
    <row r="487" ht="12.75" customHeight="1">
      <c r="CI487" s="63"/>
    </row>
    <row r="488" ht="12.75" customHeight="1">
      <c r="CI488" s="63"/>
    </row>
    <row r="489" ht="12.75" customHeight="1">
      <c r="CI489" s="63"/>
    </row>
    <row r="490" ht="12.75" customHeight="1">
      <c r="CI490" s="63"/>
    </row>
    <row r="491" ht="12.75" customHeight="1">
      <c r="CI491" s="63"/>
    </row>
    <row r="492" ht="12.75" customHeight="1">
      <c r="CI492" s="63"/>
    </row>
    <row r="493" ht="12.75" customHeight="1">
      <c r="CI493" s="63"/>
    </row>
    <row r="494" ht="12.75" customHeight="1">
      <c r="CI494" s="63"/>
    </row>
    <row r="495" ht="12.75" customHeight="1">
      <c r="CI495" s="63"/>
    </row>
    <row r="496" ht="12.75" customHeight="1">
      <c r="CI496" s="63"/>
    </row>
    <row r="497" ht="12.75" customHeight="1">
      <c r="CI497" s="63"/>
    </row>
    <row r="498" ht="12.75" customHeight="1">
      <c r="CI498" s="63"/>
    </row>
    <row r="499" ht="12.75" customHeight="1">
      <c r="CI499" s="63"/>
    </row>
    <row r="500" ht="12.75" customHeight="1">
      <c r="CI500" s="63"/>
    </row>
    <row r="501" ht="12.75" customHeight="1">
      <c r="CI501" s="63"/>
    </row>
    <row r="502" ht="12.75" customHeight="1">
      <c r="CI502" s="63"/>
    </row>
    <row r="503" ht="12.75" customHeight="1">
      <c r="CI503" s="63"/>
    </row>
    <row r="504" ht="12.75" customHeight="1">
      <c r="CI504" s="63"/>
    </row>
    <row r="505" ht="12.75" customHeight="1">
      <c r="CI505" s="63"/>
    </row>
    <row r="506" ht="12.75" customHeight="1">
      <c r="CI506" s="63"/>
    </row>
    <row r="507" ht="12.75" customHeight="1">
      <c r="CI507" s="63"/>
    </row>
    <row r="508" ht="12.75" customHeight="1">
      <c r="CI508" s="63"/>
    </row>
    <row r="509" ht="12.75" customHeight="1">
      <c r="CI509" s="63"/>
    </row>
    <row r="510" ht="12.75" customHeight="1">
      <c r="CI510" s="63"/>
    </row>
    <row r="511" ht="12.75" customHeight="1">
      <c r="CI511" s="63"/>
    </row>
    <row r="512" ht="12.75" customHeight="1">
      <c r="CI512" s="63"/>
    </row>
    <row r="513" ht="12.75" customHeight="1">
      <c r="CI513" s="63"/>
    </row>
    <row r="514" ht="12.75" customHeight="1">
      <c r="CI514" s="63"/>
    </row>
    <row r="515" ht="12.75" customHeight="1">
      <c r="CI515" s="63"/>
    </row>
    <row r="516" ht="12.75" customHeight="1">
      <c r="CI516" s="63"/>
    </row>
    <row r="517" ht="12.75" customHeight="1">
      <c r="CI517" s="63"/>
    </row>
    <row r="518" ht="12.75" customHeight="1">
      <c r="CI518" s="63"/>
    </row>
    <row r="519" ht="12.75" customHeight="1">
      <c r="CI519" s="63"/>
    </row>
    <row r="520" ht="12.75" customHeight="1">
      <c r="CI520" s="63"/>
    </row>
    <row r="521" ht="12.75" customHeight="1">
      <c r="CI521" s="63"/>
    </row>
    <row r="522" ht="12.75" customHeight="1">
      <c r="CI522" s="63"/>
    </row>
    <row r="523" ht="12.75" customHeight="1">
      <c r="CI523" s="63"/>
    </row>
    <row r="524" ht="12.75" customHeight="1">
      <c r="CI524" s="63"/>
    </row>
    <row r="525" ht="12.75" customHeight="1">
      <c r="CI525" s="63"/>
    </row>
    <row r="526" ht="12.75" customHeight="1">
      <c r="CI526" s="63"/>
    </row>
    <row r="527" ht="12.75" customHeight="1">
      <c r="CI527" s="63"/>
    </row>
    <row r="528" ht="12.75" customHeight="1">
      <c r="CI528" s="63"/>
    </row>
    <row r="529" ht="12.75" customHeight="1">
      <c r="CI529" s="63"/>
    </row>
    <row r="530" ht="12.75" customHeight="1">
      <c r="CI530" s="63"/>
    </row>
    <row r="531" ht="12.75" customHeight="1">
      <c r="CI531" s="63"/>
    </row>
    <row r="532" ht="12.75" customHeight="1">
      <c r="CI532" s="63"/>
    </row>
    <row r="533" ht="12.75" customHeight="1">
      <c r="CI533" s="63"/>
    </row>
    <row r="534" ht="12.75" customHeight="1">
      <c r="CI534" s="63"/>
    </row>
    <row r="535" ht="12.75" customHeight="1">
      <c r="CI535" s="63"/>
    </row>
    <row r="536" ht="12.75" customHeight="1">
      <c r="CI536" s="63"/>
    </row>
    <row r="537" ht="12.75" customHeight="1">
      <c r="CI537" s="63"/>
    </row>
    <row r="538" ht="12.75" customHeight="1">
      <c r="CI538" s="63"/>
    </row>
    <row r="539" ht="12.75" customHeight="1">
      <c r="CI539" s="63"/>
    </row>
    <row r="540" ht="12.75" customHeight="1">
      <c r="CI540" s="63"/>
    </row>
    <row r="541" ht="12.75" customHeight="1">
      <c r="CI541" s="63"/>
    </row>
    <row r="542" ht="12.75" customHeight="1">
      <c r="CI542" s="63"/>
    </row>
    <row r="543" ht="12.75" customHeight="1">
      <c r="CI543" s="63"/>
    </row>
    <row r="544" ht="12.75" customHeight="1">
      <c r="CI544" s="63"/>
    </row>
    <row r="545" ht="12.75" customHeight="1">
      <c r="CI545" s="63"/>
    </row>
    <row r="546" ht="12.75" customHeight="1">
      <c r="CI546" s="63"/>
    </row>
    <row r="547" ht="12.75" customHeight="1">
      <c r="CI547" s="63"/>
    </row>
    <row r="548" ht="12.75" customHeight="1">
      <c r="CI548" s="63"/>
    </row>
    <row r="549" ht="12.75" customHeight="1">
      <c r="CI549" s="63"/>
    </row>
    <row r="550" ht="12.75" customHeight="1">
      <c r="CI550" s="63"/>
    </row>
    <row r="551" ht="12.75" customHeight="1">
      <c r="CI551" s="63"/>
    </row>
    <row r="552" ht="12.75" customHeight="1">
      <c r="CI552" s="63"/>
    </row>
    <row r="553" ht="12.75" customHeight="1">
      <c r="CI553" s="63"/>
    </row>
    <row r="554" ht="12.75" customHeight="1">
      <c r="CI554" s="63"/>
    </row>
    <row r="555" ht="12.75" customHeight="1">
      <c r="CI555" s="63"/>
    </row>
    <row r="556" ht="12.75" customHeight="1">
      <c r="CI556" s="63"/>
    </row>
    <row r="557" ht="12.75" customHeight="1">
      <c r="CI557" s="63"/>
    </row>
    <row r="558" ht="12.75" customHeight="1">
      <c r="CI558" s="63"/>
    </row>
    <row r="559" ht="12.75" customHeight="1">
      <c r="CI559" s="63"/>
    </row>
    <row r="560" ht="12.75" customHeight="1">
      <c r="CI560" s="63"/>
    </row>
    <row r="561" ht="12.75" customHeight="1">
      <c r="CI561" s="63"/>
    </row>
    <row r="562" ht="12.75" customHeight="1">
      <c r="CI562" s="63"/>
    </row>
    <row r="563" ht="12.75" customHeight="1">
      <c r="CI563" s="63"/>
    </row>
    <row r="564" ht="12.75" customHeight="1">
      <c r="CI564" s="63"/>
    </row>
    <row r="565" ht="12.75" customHeight="1">
      <c r="CI565" s="63"/>
    </row>
    <row r="566" ht="12.75" customHeight="1">
      <c r="CI566" s="63"/>
    </row>
    <row r="567" ht="12.75" customHeight="1">
      <c r="CI567" s="63"/>
    </row>
    <row r="568" ht="12.75" customHeight="1">
      <c r="CI568" s="63"/>
    </row>
    <row r="569" ht="12.75" customHeight="1">
      <c r="CI569" s="63"/>
    </row>
    <row r="570" ht="12.75" customHeight="1">
      <c r="CI570" s="63"/>
    </row>
    <row r="571" ht="12.75" customHeight="1">
      <c r="CI571" s="63"/>
    </row>
    <row r="572" ht="12.75" customHeight="1">
      <c r="CI572" s="63"/>
    </row>
    <row r="573" ht="12.75" customHeight="1">
      <c r="CI573" s="63"/>
    </row>
    <row r="574" ht="12.75" customHeight="1">
      <c r="CI574" s="63"/>
    </row>
    <row r="575" ht="12.75" customHeight="1">
      <c r="CI575" s="63"/>
    </row>
    <row r="576" ht="12.75" customHeight="1">
      <c r="CI576" s="63"/>
    </row>
    <row r="577" ht="12.75" customHeight="1">
      <c r="CI577" s="63"/>
    </row>
    <row r="578" ht="12.75" customHeight="1">
      <c r="CI578" s="63"/>
    </row>
    <row r="579" ht="12.75" customHeight="1">
      <c r="CI579" s="63"/>
    </row>
    <row r="580" ht="12.75" customHeight="1">
      <c r="CI580" s="63"/>
    </row>
    <row r="581" ht="12.75" customHeight="1">
      <c r="CI581" s="63"/>
    </row>
    <row r="582" ht="12.75" customHeight="1">
      <c r="CI582" s="63"/>
    </row>
    <row r="583" ht="12.75" customHeight="1">
      <c r="CI583" s="63"/>
    </row>
    <row r="584" ht="12.75" customHeight="1">
      <c r="CI584" s="63"/>
    </row>
    <row r="585" ht="12.75" customHeight="1">
      <c r="CI585" s="63"/>
    </row>
    <row r="586" ht="12.75" customHeight="1">
      <c r="CI586" s="63"/>
    </row>
    <row r="587" ht="12.75" customHeight="1">
      <c r="CI587" s="63"/>
    </row>
    <row r="588" ht="12.75" customHeight="1">
      <c r="CI588" s="63"/>
    </row>
    <row r="589" ht="12.75" customHeight="1">
      <c r="CI589" s="63"/>
    </row>
    <row r="590" ht="12.75" customHeight="1">
      <c r="CI590" s="63"/>
    </row>
    <row r="591" ht="12.75" customHeight="1">
      <c r="CI591" s="63"/>
    </row>
    <row r="592" ht="12.75" customHeight="1">
      <c r="CI592" s="63"/>
    </row>
    <row r="593" ht="12.75" customHeight="1">
      <c r="CI593" s="63"/>
    </row>
    <row r="594" ht="12.75" customHeight="1">
      <c r="CI594" s="63"/>
    </row>
    <row r="595" ht="12.75" customHeight="1">
      <c r="CI595" s="63"/>
    </row>
    <row r="596" ht="12.75" customHeight="1">
      <c r="CI596" s="63"/>
    </row>
    <row r="597" ht="12.75" customHeight="1">
      <c r="CI597" s="63"/>
    </row>
    <row r="598" ht="12.75" customHeight="1">
      <c r="CI598" s="63"/>
    </row>
    <row r="599" ht="12.75" customHeight="1">
      <c r="CI599" s="63"/>
    </row>
    <row r="600" ht="12.75" customHeight="1">
      <c r="CI600" s="63"/>
    </row>
    <row r="601" ht="12.75" customHeight="1">
      <c r="CI601" s="63"/>
    </row>
    <row r="602" ht="12.75" customHeight="1">
      <c r="CI602" s="63"/>
    </row>
    <row r="603" ht="12.75" customHeight="1">
      <c r="CI603" s="63"/>
    </row>
    <row r="604" ht="12.75" customHeight="1">
      <c r="CI604" s="63"/>
    </row>
    <row r="605" ht="12.75" customHeight="1">
      <c r="CI605" s="63"/>
    </row>
    <row r="606" ht="12.75" customHeight="1">
      <c r="CI606" s="63"/>
    </row>
    <row r="607" ht="12.75" customHeight="1">
      <c r="CI607" s="63"/>
    </row>
    <row r="608" ht="12.75" customHeight="1">
      <c r="CI608" s="63"/>
    </row>
    <row r="609" ht="12.75" customHeight="1">
      <c r="CI609" s="63"/>
    </row>
    <row r="610" ht="12.75" customHeight="1">
      <c r="CI610" s="63"/>
    </row>
    <row r="611" ht="12.75" customHeight="1">
      <c r="CI611" s="63"/>
    </row>
    <row r="612" ht="12.75" customHeight="1">
      <c r="CI612" s="63"/>
    </row>
    <row r="613" ht="12.75" customHeight="1">
      <c r="CI613" s="63"/>
    </row>
    <row r="614" ht="12.75" customHeight="1">
      <c r="CI614" s="63"/>
    </row>
    <row r="615" ht="12.75" customHeight="1">
      <c r="CI615" s="63"/>
    </row>
    <row r="616" ht="12.75" customHeight="1">
      <c r="CI616" s="63"/>
    </row>
    <row r="617" ht="12.75" customHeight="1">
      <c r="CI617" s="63"/>
    </row>
    <row r="618" ht="12.75" customHeight="1">
      <c r="CI618" s="63"/>
    </row>
    <row r="619" ht="12.75" customHeight="1">
      <c r="CI619" s="63"/>
    </row>
    <row r="620" ht="12.75" customHeight="1">
      <c r="CI620" s="63"/>
    </row>
    <row r="621" ht="12.75" customHeight="1">
      <c r="CI621" s="63"/>
    </row>
    <row r="622" ht="12.75" customHeight="1">
      <c r="CI622" s="63"/>
    </row>
    <row r="623" ht="12.75" customHeight="1">
      <c r="CI623" s="63"/>
    </row>
    <row r="624" ht="12.75" customHeight="1">
      <c r="CI624" s="63"/>
    </row>
    <row r="625" ht="12.75" customHeight="1">
      <c r="CI625" s="63"/>
    </row>
    <row r="626" ht="12.75" customHeight="1">
      <c r="CI626" s="63"/>
    </row>
    <row r="627" ht="12.75" customHeight="1">
      <c r="CI627" s="63"/>
    </row>
    <row r="628" ht="12.75" customHeight="1">
      <c r="CI628" s="63"/>
    </row>
    <row r="629" ht="12.75" customHeight="1">
      <c r="CI629" s="63"/>
    </row>
    <row r="630" ht="12.75" customHeight="1">
      <c r="CI630" s="63"/>
    </row>
    <row r="631" ht="12.75" customHeight="1">
      <c r="CI631" s="63"/>
    </row>
    <row r="632" ht="12.75" customHeight="1">
      <c r="CI632" s="63"/>
    </row>
    <row r="633" ht="12.75" customHeight="1">
      <c r="CI633" s="63"/>
    </row>
    <row r="634" ht="12.75" customHeight="1">
      <c r="CI634" s="63"/>
    </row>
    <row r="635" ht="12.75" customHeight="1">
      <c r="CI635" s="63"/>
    </row>
    <row r="636" ht="12.75" customHeight="1">
      <c r="CI636" s="63"/>
    </row>
    <row r="637" ht="12.75" customHeight="1">
      <c r="CI637" s="63"/>
    </row>
    <row r="638" ht="12.75" customHeight="1">
      <c r="CI638" s="63"/>
    </row>
    <row r="639" ht="12.75" customHeight="1">
      <c r="CI639" s="63"/>
    </row>
    <row r="640" ht="12.75" customHeight="1">
      <c r="CI640" s="63"/>
    </row>
    <row r="641" ht="12.75" customHeight="1">
      <c r="CI641" s="63"/>
    </row>
    <row r="642" ht="12.75" customHeight="1">
      <c r="CI642" s="63"/>
    </row>
    <row r="643" ht="12.75" customHeight="1">
      <c r="CI643" s="63"/>
    </row>
    <row r="644" ht="12.75" customHeight="1">
      <c r="CI644" s="63"/>
    </row>
    <row r="645" ht="12.75" customHeight="1">
      <c r="CI645" s="63"/>
    </row>
    <row r="646" ht="12.75" customHeight="1">
      <c r="CI646" s="63"/>
    </row>
    <row r="647" ht="12.75" customHeight="1">
      <c r="CI647" s="63"/>
    </row>
    <row r="648" ht="12.75" customHeight="1">
      <c r="CI648" s="63"/>
    </row>
    <row r="649" ht="12.75" customHeight="1">
      <c r="CI649" s="63"/>
    </row>
    <row r="650" ht="12.75" customHeight="1">
      <c r="CI650" s="63"/>
    </row>
    <row r="651" ht="12.75" customHeight="1">
      <c r="CI651" s="63"/>
    </row>
    <row r="652" ht="12.75" customHeight="1">
      <c r="CI652" s="63"/>
    </row>
    <row r="653" ht="12.75" customHeight="1">
      <c r="CI653" s="63"/>
    </row>
    <row r="654" ht="12.75" customHeight="1">
      <c r="CI654" s="63"/>
    </row>
    <row r="655" ht="12.75" customHeight="1">
      <c r="CI655" s="63"/>
    </row>
    <row r="656" ht="12.75" customHeight="1">
      <c r="CI656" s="63"/>
    </row>
    <row r="657" ht="12.75" customHeight="1">
      <c r="CI657" s="63"/>
    </row>
    <row r="658" ht="12.75" customHeight="1">
      <c r="CI658" s="63"/>
    </row>
    <row r="659" ht="12.75" customHeight="1">
      <c r="CI659" s="63"/>
    </row>
    <row r="660" ht="12.75" customHeight="1">
      <c r="CI660" s="63"/>
    </row>
    <row r="661" ht="12.75" customHeight="1">
      <c r="CI661" s="63"/>
    </row>
    <row r="662" ht="12.75" customHeight="1">
      <c r="CI662" s="63"/>
    </row>
    <row r="663" ht="12.75" customHeight="1">
      <c r="CI663" s="63"/>
    </row>
    <row r="664" ht="12.75" customHeight="1">
      <c r="CI664" s="63"/>
    </row>
    <row r="665" ht="12.75" customHeight="1">
      <c r="CI665" s="63"/>
    </row>
    <row r="666" ht="12.75" customHeight="1">
      <c r="CI666" s="63"/>
    </row>
    <row r="667" ht="12.75" customHeight="1">
      <c r="CI667" s="63"/>
    </row>
    <row r="668" ht="12.75" customHeight="1">
      <c r="CI668" s="63"/>
    </row>
    <row r="669" ht="12.75" customHeight="1">
      <c r="CI669" s="63"/>
    </row>
    <row r="670" ht="12.75" customHeight="1">
      <c r="CI670" s="63"/>
    </row>
    <row r="671" ht="12.75" customHeight="1">
      <c r="CI671" s="63"/>
    </row>
    <row r="672" ht="12.75" customHeight="1">
      <c r="CI672" s="63"/>
    </row>
    <row r="673" ht="12.75" customHeight="1">
      <c r="CI673" s="63"/>
    </row>
    <row r="674" ht="12.75" customHeight="1">
      <c r="CI674" s="63"/>
    </row>
    <row r="675" ht="12.75" customHeight="1">
      <c r="CI675" s="63"/>
    </row>
    <row r="676" ht="12.75" customHeight="1">
      <c r="CI676" s="63"/>
    </row>
    <row r="677" ht="12.75" customHeight="1">
      <c r="CI677" s="63"/>
    </row>
    <row r="678" ht="12.75" customHeight="1">
      <c r="CI678" s="63"/>
    </row>
    <row r="679" ht="12.75" customHeight="1">
      <c r="CI679" s="63"/>
    </row>
    <row r="680" ht="12.75" customHeight="1">
      <c r="CI680" s="63"/>
    </row>
    <row r="681" ht="12.75" customHeight="1">
      <c r="CI681" s="63"/>
    </row>
    <row r="682" ht="12.75" customHeight="1">
      <c r="CI682" s="63"/>
    </row>
    <row r="683" ht="12.75" customHeight="1">
      <c r="CI683" s="63"/>
    </row>
    <row r="684" ht="12.75" customHeight="1">
      <c r="CI684" s="63"/>
    </row>
    <row r="685" ht="12.75" customHeight="1">
      <c r="CI685" s="63"/>
    </row>
    <row r="686" ht="12.75" customHeight="1">
      <c r="CI686" s="63"/>
    </row>
    <row r="687" ht="12.75" customHeight="1">
      <c r="CI687" s="63"/>
    </row>
    <row r="688" ht="12.75" customHeight="1">
      <c r="CI688" s="63"/>
    </row>
    <row r="689" ht="12.75" customHeight="1">
      <c r="CI689" s="63"/>
    </row>
    <row r="690" ht="12.75" customHeight="1">
      <c r="CI690" s="63"/>
    </row>
    <row r="691" ht="12.75" customHeight="1">
      <c r="CI691" s="63"/>
    </row>
    <row r="692" ht="12.75" customHeight="1">
      <c r="CI692" s="63"/>
    </row>
    <row r="693" ht="12.75" customHeight="1">
      <c r="CI693" s="63"/>
    </row>
    <row r="694" ht="12.75" customHeight="1">
      <c r="CI694" s="63"/>
    </row>
    <row r="695" ht="12.75" customHeight="1">
      <c r="CI695" s="63"/>
    </row>
    <row r="696" ht="12.75" customHeight="1">
      <c r="CI696" s="63"/>
    </row>
    <row r="697" ht="12.75" customHeight="1">
      <c r="CI697" s="63"/>
    </row>
    <row r="698" ht="12.75" customHeight="1">
      <c r="CI698" s="63"/>
    </row>
    <row r="699" ht="12.75" customHeight="1">
      <c r="CI699" s="63"/>
    </row>
    <row r="700" ht="12.75" customHeight="1">
      <c r="CI700" s="63"/>
    </row>
    <row r="701" ht="12.75" customHeight="1">
      <c r="CI701" s="63"/>
    </row>
    <row r="702" ht="12.75" customHeight="1">
      <c r="CI702" s="63"/>
    </row>
    <row r="703" ht="12.75" customHeight="1">
      <c r="CI703" s="63"/>
    </row>
    <row r="704" ht="12.75" customHeight="1">
      <c r="CI704" s="63"/>
    </row>
    <row r="705" ht="12.75" customHeight="1">
      <c r="CI705" s="63"/>
    </row>
    <row r="706" ht="12.75" customHeight="1">
      <c r="CI706" s="63"/>
    </row>
    <row r="707" ht="12.75" customHeight="1">
      <c r="CI707" s="63"/>
    </row>
    <row r="708" ht="12.75" customHeight="1">
      <c r="CI708" s="63"/>
    </row>
    <row r="709" ht="12.75" customHeight="1">
      <c r="CI709" s="63"/>
    </row>
    <row r="710" ht="12.75" customHeight="1">
      <c r="CI710" s="63"/>
    </row>
    <row r="711" ht="12.75" customHeight="1">
      <c r="CI711" s="63"/>
    </row>
    <row r="712" ht="12.75" customHeight="1">
      <c r="CI712" s="63"/>
    </row>
    <row r="713" ht="12.75" customHeight="1">
      <c r="CI713" s="63"/>
    </row>
    <row r="714" ht="12.75" customHeight="1">
      <c r="CI714" s="63"/>
    </row>
    <row r="715" ht="12.75" customHeight="1">
      <c r="CI715" s="63"/>
    </row>
    <row r="716" ht="12.75" customHeight="1">
      <c r="CI716" s="63"/>
    </row>
    <row r="717" ht="12.75" customHeight="1">
      <c r="CI717" s="63"/>
    </row>
    <row r="718" ht="12.75" customHeight="1">
      <c r="CI718" s="63"/>
    </row>
    <row r="719" ht="12.75" customHeight="1">
      <c r="CI719" s="63"/>
    </row>
    <row r="720" ht="12.75" customHeight="1">
      <c r="CI720" s="63"/>
    </row>
    <row r="721" ht="12.75" customHeight="1">
      <c r="CI721" s="63"/>
    </row>
    <row r="722" ht="12.75" customHeight="1">
      <c r="CI722" s="63"/>
    </row>
    <row r="723" ht="12.75" customHeight="1">
      <c r="CI723" s="63"/>
    </row>
    <row r="724" ht="12.75" customHeight="1">
      <c r="CI724" s="63"/>
    </row>
    <row r="725" ht="12.75" customHeight="1">
      <c r="CI725" s="63"/>
    </row>
    <row r="726" ht="12.75" customHeight="1">
      <c r="CI726" s="63"/>
    </row>
    <row r="727" ht="12.75" customHeight="1">
      <c r="CI727" s="63"/>
    </row>
    <row r="728" ht="12.75" customHeight="1">
      <c r="CI728" s="63"/>
    </row>
    <row r="729" ht="12.75" customHeight="1">
      <c r="CI729" s="63"/>
    </row>
    <row r="730" ht="12.75" customHeight="1">
      <c r="CI730" s="63"/>
    </row>
    <row r="731" ht="12.75" customHeight="1">
      <c r="CI731" s="63"/>
    </row>
    <row r="732" ht="12.75" customHeight="1">
      <c r="CI732" s="63"/>
    </row>
    <row r="733" ht="12.75" customHeight="1">
      <c r="CI733" s="63"/>
    </row>
    <row r="734" ht="12.75" customHeight="1">
      <c r="CI734" s="63"/>
    </row>
    <row r="735" ht="12.75" customHeight="1">
      <c r="CI735" s="63"/>
    </row>
    <row r="736" ht="12.75" customHeight="1">
      <c r="CI736" s="63"/>
    </row>
    <row r="737" ht="12.75" customHeight="1">
      <c r="CI737" s="63"/>
    </row>
    <row r="738" ht="12.75" customHeight="1">
      <c r="CI738" s="63"/>
    </row>
    <row r="739" ht="12.75" customHeight="1">
      <c r="CI739" s="63"/>
    </row>
    <row r="740" ht="12.75" customHeight="1">
      <c r="CI740" s="63"/>
    </row>
    <row r="741" ht="12.75" customHeight="1">
      <c r="CI741" s="63"/>
    </row>
    <row r="742" ht="12.75" customHeight="1">
      <c r="CI742" s="63"/>
    </row>
    <row r="743" ht="12.75" customHeight="1">
      <c r="CI743" s="63"/>
    </row>
    <row r="744" ht="12.75" customHeight="1">
      <c r="CI744" s="63"/>
    </row>
    <row r="745" ht="12.75" customHeight="1">
      <c r="CI745" s="63"/>
    </row>
    <row r="746" ht="12.75" customHeight="1">
      <c r="CI746" s="63"/>
    </row>
    <row r="747" ht="12.75" customHeight="1">
      <c r="CI747" s="63"/>
    </row>
    <row r="748" ht="12.75" customHeight="1">
      <c r="CI748" s="63"/>
    </row>
    <row r="749" ht="12.75" customHeight="1">
      <c r="CI749" s="63"/>
    </row>
    <row r="750" ht="12.75" customHeight="1">
      <c r="CI750" s="63"/>
    </row>
    <row r="751" ht="12.75" customHeight="1">
      <c r="CI751" s="63"/>
    </row>
    <row r="752" ht="12.75" customHeight="1">
      <c r="CI752" s="63"/>
    </row>
    <row r="753" ht="12.75" customHeight="1">
      <c r="CI753" s="63"/>
    </row>
    <row r="754" ht="12.75" customHeight="1">
      <c r="CI754" s="63"/>
    </row>
    <row r="755" ht="12.75" customHeight="1">
      <c r="CI755" s="63"/>
    </row>
    <row r="756" ht="12.75" customHeight="1">
      <c r="CI756" s="63"/>
    </row>
    <row r="757" ht="12.75" customHeight="1">
      <c r="CI757" s="63"/>
    </row>
    <row r="758" ht="12.75" customHeight="1">
      <c r="CI758" s="63"/>
    </row>
    <row r="759" ht="12.75" customHeight="1">
      <c r="CI759" s="63"/>
    </row>
    <row r="760" ht="12.75" customHeight="1">
      <c r="CI760" s="63"/>
    </row>
    <row r="761" ht="12.75" customHeight="1">
      <c r="CI761" s="63"/>
    </row>
    <row r="762" ht="12.75" customHeight="1">
      <c r="CI762" s="63"/>
    </row>
    <row r="763" ht="12.75" customHeight="1">
      <c r="CI763" s="63"/>
    </row>
    <row r="764" ht="12.75" customHeight="1">
      <c r="CI764" s="63"/>
    </row>
    <row r="765" ht="12.75" customHeight="1">
      <c r="CI765" s="63"/>
    </row>
    <row r="766" ht="12.75" customHeight="1">
      <c r="CI766" s="63"/>
    </row>
    <row r="767" ht="12.75" customHeight="1">
      <c r="CI767" s="63"/>
    </row>
    <row r="768" ht="12.75" customHeight="1">
      <c r="CI768" s="63"/>
    </row>
    <row r="769" ht="12.75" customHeight="1">
      <c r="CI769" s="63"/>
    </row>
    <row r="770" ht="12.75" customHeight="1">
      <c r="CI770" s="63"/>
    </row>
    <row r="771" ht="12.75" customHeight="1">
      <c r="CI771" s="63"/>
    </row>
    <row r="772" ht="12.75" customHeight="1">
      <c r="CI772" s="63"/>
    </row>
    <row r="773" ht="12.75" customHeight="1">
      <c r="CI773" s="63"/>
    </row>
    <row r="774" ht="12.75" customHeight="1">
      <c r="CI774" s="63"/>
    </row>
    <row r="775" ht="12.75" customHeight="1">
      <c r="CI775" s="63"/>
    </row>
    <row r="776" ht="12.75" customHeight="1">
      <c r="CI776" s="63"/>
    </row>
    <row r="777" ht="12.75" customHeight="1">
      <c r="CI777" s="63"/>
    </row>
    <row r="778" ht="12.75" customHeight="1">
      <c r="CI778" s="63"/>
    </row>
    <row r="779" ht="12.75" customHeight="1">
      <c r="CI779" s="63"/>
    </row>
    <row r="780" ht="12.75" customHeight="1">
      <c r="CI780" s="63"/>
    </row>
    <row r="781" ht="12.75" customHeight="1">
      <c r="CI781" s="63"/>
    </row>
    <row r="782" ht="12.75" customHeight="1">
      <c r="CI782" s="63"/>
    </row>
    <row r="783" ht="12.75" customHeight="1">
      <c r="CI783" s="63"/>
    </row>
    <row r="784" ht="12.75" customHeight="1">
      <c r="CI784" s="63"/>
    </row>
    <row r="785" ht="12.75" customHeight="1">
      <c r="CI785" s="63"/>
    </row>
    <row r="786" ht="12.75" customHeight="1">
      <c r="CI786" s="63"/>
    </row>
    <row r="787" ht="12.75" customHeight="1">
      <c r="CI787" s="63"/>
    </row>
    <row r="788" ht="12.75" customHeight="1">
      <c r="CI788" s="63"/>
    </row>
    <row r="789" ht="12.75" customHeight="1">
      <c r="CI789" s="63"/>
    </row>
    <row r="790" ht="12.75" customHeight="1">
      <c r="CI790" s="63"/>
    </row>
    <row r="791" ht="12.75" customHeight="1">
      <c r="CI791" s="63"/>
    </row>
    <row r="792" ht="12.75" customHeight="1">
      <c r="CI792" s="63"/>
    </row>
    <row r="793" ht="12.75" customHeight="1">
      <c r="CI793" s="63"/>
    </row>
    <row r="794" ht="12.75" customHeight="1">
      <c r="CI794" s="63"/>
    </row>
    <row r="795" ht="12.75" customHeight="1">
      <c r="CI795" s="63"/>
    </row>
    <row r="796" ht="12.75" customHeight="1">
      <c r="CI796" s="63"/>
    </row>
    <row r="797" ht="12.75" customHeight="1">
      <c r="CI797" s="63"/>
    </row>
    <row r="798" ht="12.75" customHeight="1">
      <c r="CI798" s="63"/>
    </row>
    <row r="799" ht="12.75" customHeight="1">
      <c r="CI799" s="63"/>
    </row>
    <row r="800" ht="12.75" customHeight="1">
      <c r="CI800" s="63"/>
    </row>
    <row r="801" ht="12.75" customHeight="1">
      <c r="CI801" s="63"/>
    </row>
    <row r="802" ht="12.75" customHeight="1">
      <c r="CI802" s="63"/>
    </row>
    <row r="803" ht="12.75" customHeight="1">
      <c r="CI803" s="63"/>
    </row>
    <row r="804" ht="12.75" customHeight="1">
      <c r="CI804" s="63"/>
    </row>
    <row r="805" ht="12.75" customHeight="1">
      <c r="CI805" s="63"/>
    </row>
    <row r="806" ht="12.75" customHeight="1">
      <c r="CI806" s="63"/>
    </row>
    <row r="807" ht="12.75" customHeight="1">
      <c r="CI807" s="63"/>
    </row>
    <row r="808" ht="12.75" customHeight="1">
      <c r="CI808" s="63"/>
    </row>
    <row r="809" ht="12.75" customHeight="1">
      <c r="CI809" s="63"/>
    </row>
    <row r="810" ht="12.75" customHeight="1">
      <c r="CI810" s="63"/>
    </row>
    <row r="811" ht="12.75" customHeight="1">
      <c r="CI811" s="63"/>
    </row>
    <row r="812" ht="12.75" customHeight="1">
      <c r="CI812" s="63"/>
    </row>
    <row r="813" ht="12.75" customHeight="1">
      <c r="CI813" s="63"/>
    </row>
    <row r="814" ht="12.75" customHeight="1">
      <c r="CI814" s="63"/>
    </row>
    <row r="815" ht="12.75" customHeight="1">
      <c r="CI815" s="63"/>
    </row>
    <row r="816" ht="12.75" customHeight="1">
      <c r="CI816" s="63"/>
    </row>
    <row r="817" ht="12.75" customHeight="1">
      <c r="CI817" s="63"/>
    </row>
    <row r="818" ht="12.75" customHeight="1">
      <c r="CI818" s="63"/>
    </row>
    <row r="819" ht="12.75" customHeight="1">
      <c r="CI819" s="63"/>
    </row>
    <row r="820" ht="12.75" customHeight="1">
      <c r="CI820" s="63"/>
    </row>
    <row r="821" ht="12.75" customHeight="1">
      <c r="CI821" s="63"/>
    </row>
    <row r="822" ht="12.75" customHeight="1">
      <c r="CI822" s="63"/>
    </row>
    <row r="823" ht="12.75" customHeight="1">
      <c r="CI823" s="63"/>
    </row>
    <row r="824" ht="12.75" customHeight="1">
      <c r="CI824" s="63"/>
    </row>
    <row r="825" ht="12.75" customHeight="1">
      <c r="CI825" s="63"/>
    </row>
    <row r="826" ht="12.75" customHeight="1">
      <c r="CI826" s="63"/>
    </row>
    <row r="827" ht="12.75" customHeight="1">
      <c r="CI827" s="63"/>
    </row>
    <row r="828" ht="12.75" customHeight="1">
      <c r="CI828" s="63"/>
    </row>
    <row r="829" ht="12.75" customHeight="1">
      <c r="CI829" s="63"/>
    </row>
    <row r="830" ht="12.75" customHeight="1">
      <c r="CI830" s="63"/>
    </row>
    <row r="831" ht="12.75" customHeight="1">
      <c r="CI831" s="63"/>
    </row>
    <row r="832" ht="12.75" customHeight="1">
      <c r="CI832" s="63"/>
    </row>
    <row r="833" ht="12.75" customHeight="1">
      <c r="CI833" s="63"/>
    </row>
    <row r="834" ht="12.75" customHeight="1">
      <c r="CI834" s="63"/>
    </row>
    <row r="835" ht="12.75" customHeight="1">
      <c r="CI835" s="63"/>
    </row>
    <row r="836" ht="12.75" customHeight="1">
      <c r="CI836" s="63"/>
    </row>
    <row r="837" ht="12.75" customHeight="1">
      <c r="CI837" s="63"/>
    </row>
    <row r="838" ht="12.75" customHeight="1">
      <c r="CI838" s="63"/>
    </row>
    <row r="839" ht="12.75" customHeight="1">
      <c r="CI839" s="63"/>
    </row>
    <row r="840" ht="12.75" customHeight="1">
      <c r="CI840" s="63"/>
    </row>
    <row r="841" ht="12.75" customHeight="1">
      <c r="CI841" s="63"/>
    </row>
    <row r="842" ht="12.75" customHeight="1">
      <c r="CI842" s="63"/>
    </row>
    <row r="843" ht="12.75" customHeight="1">
      <c r="CI843" s="63"/>
    </row>
    <row r="844" ht="12.75" customHeight="1">
      <c r="CI844" s="63"/>
    </row>
    <row r="845" ht="12.75" customHeight="1">
      <c r="CI845" s="63"/>
    </row>
    <row r="846" ht="12.75" customHeight="1">
      <c r="CI846" s="63"/>
    </row>
    <row r="847" ht="12.75" customHeight="1">
      <c r="CI847" s="63"/>
    </row>
    <row r="848" ht="12.75" customHeight="1">
      <c r="CI848" s="63"/>
    </row>
    <row r="849" ht="12.75" customHeight="1">
      <c r="CI849" s="63"/>
    </row>
    <row r="850" ht="12.75" customHeight="1">
      <c r="CI850" s="63"/>
    </row>
    <row r="851" ht="12.75" customHeight="1">
      <c r="CI851" s="63"/>
    </row>
    <row r="852" ht="12.75" customHeight="1">
      <c r="CI852" s="63"/>
    </row>
    <row r="853" ht="12.75" customHeight="1">
      <c r="CI853" s="63"/>
    </row>
    <row r="854" ht="12.75" customHeight="1">
      <c r="CI854" s="63"/>
    </row>
    <row r="855" ht="12.75" customHeight="1">
      <c r="CI855" s="63"/>
    </row>
    <row r="856" ht="12.75" customHeight="1">
      <c r="CI856" s="63"/>
    </row>
    <row r="857" ht="12.75" customHeight="1">
      <c r="CI857" s="63"/>
    </row>
    <row r="858" ht="12.75" customHeight="1">
      <c r="CI858" s="63"/>
    </row>
    <row r="859" ht="12.75" customHeight="1">
      <c r="CI859" s="63"/>
    </row>
    <row r="860" ht="12.75" customHeight="1">
      <c r="CI860" s="63"/>
    </row>
    <row r="861" ht="12.75" customHeight="1">
      <c r="CI861" s="63"/>
    </row>
    <row r="862" ht="12.75" customHeight="1">
      <c r="CI862" s="63"/>
    </row>
    <row r="863" ht="12.75" customHeight="1">
      <c r="CI863" s="63"/>
    </row>
    <row r="864" ht="12.75" customHeight="1">
      <c r="CI864" s="63"/>
    </row>
    <row r="865" ht="12.75" customHeight="1">
      <c r="CI865" s="63"/>
    </row>
    <row r="866" ht="12.75" customHeight="1">
      <c r="CI866" s="63"/>
    </row>
    <row r="867" ht="12.75" customHeight="1">
      <c r="CI867" s="63"/>
    </row>
    <row r="868" ht="12.75" customHeight="1">
      <c r="CI868" s="63"/>
    </row>
    <row r="869" ht="12.75" customHeight="1">
      <c r="CI869" s="63"/>
    </row>
    <row r="870" ht="12.75" customHeight="1">
      <c r="CI870" s="63"/>
    </row>
    <row r="871" ht="12.75" customHeight="1">
      <c r="CI871" s="63"/>
    </row>
    <row r="872" ht="12.75" customHeight="1">
      <c r="CI872" s="63"/>
    </row>
    <row r="873" ht="12.75" customHeight="1">
      <c r="CI873" s="63"/>
    </row>
    <row r="874" ht="12.75" customHeight="1">
      <c r="CI874" s="63"/>
    </row>
    <row r="875" ht="12.75" customHeight="1">
      <c r="CI875" s="63"/>
    </row>
    <row r="876" ht="12.75" customHeight="1">
      <c r="CI876" s="63"/>
    </row>
    <row r="877" ht="12.75" customHeight="1">
      <c r="CI877" s="63"/>
    </row>
    <row r="878" ht="12.75" customHeight="1">
      <c r="CI878" s="63"/>
    </row>
    <row r="879" ht="12.75" customHeight="1">
      <c r="CI879" s="63"/>
    </row>
    <row r="880" ht="12.75" customHeight="1">
      <c r="CI880" s="63"/>
    </row>
    <row r="881" ht="12.75" customHeight="1">
      <c r="CI881" s="63"/>
    </row>
    <row r="882" ht="12.75" customHeight="1">
      <c r="CI882" s="63"/>
    </row>
    <row r="883" ht="12.75" customHeight="1">
      <c r="CI883" s="63"/>
    </row>
    <row r="884" ht="12.75" customHeight="1">
      <c r="CI884" s="63"/>
    </row>
    <row r="885" ht="12.75" customHeight="1">
      <c r="CI885" s="63"/>
    </row>
    <row r="886" ht="12.75" customHeight="1">
      <c r="CI886" s="63"/>
    </row>
    <row r="887" ht="12.75" customHeight="1">
      <c r="CI887" s="63"/>
    </row>
    <row r="888" ht="12.75" customHeight="1">
      <c r="CI888" s="63"/>
    </row>
    <row r="889" ht="12.75" customHeight="1">
      <c r="CI889" s="63"/>
    </row>
    <row r="890" ht="12.75" customHeight="1">
      <c r="CI890" s="63"/>
    </row>
    <row r="891" ht="12.75" customHeight="1">
      <c r="CI891" s="63"/>
    </row>
    <row r="892" ht="12.75" customHeight="1">
      <c r="CI892" s="63"/>
    </row>
    <row r="893" ht="12.75" customHeight="1">
      <c r="CI893" s="63"/>
    </row>
    <row r="894" ht="12.75" customHeight="1">
      <c r="CI894" s="63"/>
    </row>
    <row r="895" ht="12.75" customHeight="1">
      <c r="CI895" s="63"/>
    </row>
    <row r="896" ht="12.75" customHeight="1">
      <c r="CI896" s="63"/>
    </row>
    <row r="897" ht="12.75" customHeight="1">
      <c r="CI897" s="63"/>
    </row>
    <row r="898" ht="12.75" customHeight="1">
      <c r="CI898" s="63"/>
    </row>
    <row r="899" ht="12.75" customHeight="1">
      <c r="CI899" s="63"/>
    </row>
    <row r="900" ht="12.75" customHeight="1">
      <c r="CI900" s="63"/>
    </row>
    <row r="901" ht="12.75" customHeight="1">
      <c r="CI901" s="63"/>
    </row>
    <row r="902" ht="12.75" customHeight="1">
      <c r="CI902" s="63"/>
    </row>
    <row r="903" ht="12.75" customHeight="1">
      <c r="CI903" s="63"/>
    </row>
    <row r="904" ht="12.75" customHeight="1">
      <c r="CI904" s="63"/>
    </row>
    <row r="905" ht="12.75" customHeight="1">
      <c r="CI905" s="63"/>
    </row>
    <row r="906" ht="12.75" customHeight="1">
      <c r="CI906" s="63"/>
    </row>
    <row r="907" ht="12.75" customHeight="1">
      <c r="CI907" s="63"/>
    </row>
    <row r="908" ht="12.75" customHeight="1">
      <c r="CI908" s="63"/>
    </row>
    <row r="909" ht="12.75" customHeight="1">
      <c r="CI909" s="63"/>
    </row>
    <row r="910" ht="12.75" customHeight="1">
      <c r="CI910" s="63"/>
    </row>
    <row r="911" ht="12.75" customHeight="1">
      <c r="CI911" s="63"/>
    </row>
    <row r="912" ht="12.75" customHeight="1">
      <c r="CI912" s="63"/>
    </row>
    <row r="913" ht="12.75" customHeight="1">
      <c r="CI913" s="63"/>
    </row>
    <row r="914" ht="12.75" customHeight="1">
      <c r="CI914" s="63"/>
    </row>
    <row r="915" ht="12.75" customHeight="1">
      <c r="CI915" s="63"/>
    </row>
    <row r="916" ht="12.75" customHeight="1">
      <c r="CI916" s="63"/>
    </row>
    <row r="917" ht="12.75" customHeight="1">
      <c r="CI917" s="63"/>
    </row>
    <row r="918" ht="12.75" customHeight="1">
      <c r="CI918" s="63"/>
    </row>
    <row r="919" ht="12.75" customHeight="1">
      <c r="CI919" s="63"/>
    </row>
    <row r="920" ht="12.75" customHeight="1">
      <c r="CI920" s="63"/>
    </row>
    <row r="921" ht="12.75" customHeight="1">
      <c r="CI921" s="63"/>
    </row>
    <row r="922" ht="12.75" customHeight="1">
      <c r="CI922" s="63"/>
    </row>
    <row r="923" ht="12.75" customHeight="1">
      <c r="CI923" s="63"/>
    </row>
    <row r="924" ht="12.75" customHeight="1">
      <c r="CI924" s="63"/>
    </row>
    <row r="925" ht="12.75" customHeight="1">
      <c r="CI925" s="63"/>
    </row>
    <row r="926" ht="12.75" customHeight="1">
      <c r="CI926" s="63"/>
    </row>
    <row r="927" ht="12.75" customHeight="1">
      <c r="CI927" s="63"/>
    </row>
    <row r="928" ht="12.75" customHeight="1">
      <c r="CI928" s="63"/>
    </row>
    <row r="929" ht="12.75" customHeight="1">
      <c r="CI929" s="63"/>
    </row>
    <row r="930" ht="12.75" customHeight="1">
      <c r="CI930" s="63"/>
    </row>
    <row r="931" ht="12.75" customHeight="1">
      <c r="CI931" s="63"/>
    </row>
    <row r="932" ht="12.75" customHeight="1">
      <c r="CI932" s="63"/>
    </row>
    <row r="933" ht="12.75" customHeight="1">
      <c r="CI933" s="63"/>
    </row>
    <row r="934" ht="12.75" customHeight="1">
      <c r="CI934" s="63"/>
    </row>
    <row r="935" ht="12.75" customHeight="1">
      <c r="CI935" s="63"/>
    </row>
    <row r="936" ht="12.75" customHeight="1">
      <c r="CI936" s="63"/>
    </row>
    <row r="937" ht="12.75" customHeight="1">
      <c r="CI937" s="63"/>
    </row>
    <row r="938" ht="12.75" customHeight="1">
      <c r="CI938" s="63"/>
    </row>
    <row r="939" ht="12.75" customHeight="1">
      <c r="CI939" s="63"/>
    </row>
    <row r="940" ht="12.75" customHeight="1">
      <c r="CI940" s="63"/>
    </row>
    <row r="941" ht="12.75" customHeight="1">
      <c r="CI941" s="63"/>
    </row>
    <row r="942" ht="12.75" customHeight="1">
      <c r="CI942" s="63"/>
    </row>
    <row r="943" ht="12.75" customHeight="1">
      <c r="CI943" s="63"/>
    </row>
    <row r="944" ht="12.75" customHeight="1">
      <c r="CI944" s="63"/>
    </row>
    <row r="945" ht="12.75" customHeight="1">
      <c r="CI945" s="63"/>
    </row>
    <row r="946" ht="12.75" customHeight="1">
      <c r="CI946" s="63"/>
    </row>
    <row r="947" ht="12.75" customHeight="1">
      <c r="CI947" s="63"/>
    </row>
    <row r="948" ht="12.75" customHeight="1">
      <c r="CI948" s="63"/>
    </row>
    <row r="949" ht="12.75" customHeight="1">
      <c r="CI949" s="63"/>
    </row>
    <row r="950" ht="12.75" customHeight="1">
      <c r="CI950" s="63"/>
    </row>
    <row r="951" ht="12.75" customHeight="1">
      <c r="CI951" s="63"/>
    </row>
    <row r="952" ht="12.75" customHeight="1">
      <c r="CI952" s="63"/>
    </row>
    <row r="953" ht="12.75" customHeight="1">
      <c r="CI953" s="63"/>
    </row>
    <row r="954" ht="12.75" customHeight="1">
      <c r="CI954" s="63"/>
    </row>
    <row r="955" ht="12.75" customHeight="1">
      <c r="CI955" s="63"/>
    </row>
    <row r="956" ht="12.75" customHeight="1">
      <c r="CI956" s="63"/>
    </row>
    <row r="957" ht="12.75" customHeight="1">
      <c r="CI957" s="63"/>
    </row>
    <row r="958" ht="12.75" customHeight="1">
      <c r="CI958" s="63"/>
    </row>
    <row r="959" ht="12.75" customHeight="1">
      <c r="CI959" s="63"/>
    </row>
    <row r="960" ht="12.75" customHeight="1">
      <c r="CI960" s="63"/>
    </row>
    <row r="961" ht="12.75" customHeight="1">
      <c r="CI961" s="63"/>
    </row>
    <row r="962" ht="12.75" customHeight="1">
      <c r="CI962" s="63"/>
    </row>
    <row r="963" ht="12.75" customHeight="1">
      <c r="CI963" s="63"/>
    </row>
    <row r="964" ht="12.75" customHeight="1">
      <c r="CI964" s="63"/>
    </row>
    <row r="965" ht="12.75" customHeight="1">
      <c r="CI965" s="63"/>
    </row>
    <row r="966" ht="12.75" customHeight="1">
      <c r="CI966" s="63"/>
    </row>
    <row r="967" ht="12.75" customHeight="1">
      <c r="CI967" s="63"/>
    </row>
    <row r="968" ht="12.75" customHeight="1">
      <c r="CI968" s="63"/>
    </row>
    <row r="969" ht="12.75" customHeight="1">
      <c r="CI969" s="63"/>
    </row>
    <row r="970" ht="12.75" customHeight="1">
      <c r="CI970" s="63"/>
    </row>
    <row r="971" ht="12.75" customHeight="1">
      <c r="CI971" s="63"/>
    </row>
    <row r="972" ht="12.75" customHeight="1">
      <c r="CI972" s="63"/>
    </row>
    <row r="973" ht="12.75" customHeight="1">
      <c r="CI973" s="63"/>
    </row>
    <row r="974" ht="12.75" customHeight="1">
      <c r="CI974" s="63"/>
    </row>
    <row r="975" ht="12.75" customHeight="1">
      <c r="CI975" s="63"/>
    </row>
    <row r="976" ht="12.75" customHeight="1">
      <c r="CI976" s="63"/>
    </row>
    <row r="977" ht="12.75" customHeight="1">
      <c r="CI977" s="63"/>
    </row>
    <row r="978" ht="12.75" customHeight="1">
      <c r="CI978" s="63"/>
    </row>
    <row r="979" ht="12.75" customHeight="1">
      <c r="CI979" s="63"/>
    </row>
    <row r="980" ht="12.75" customHeight="1">
      <c r="CI980" s="63"/>
    </row>
    <row r="981" ht="12.75" customHeight="1">
      <c r="CI981" s="63"/>
    </row>
    <row r="982" ht="12.75" customHeight="1">
      <c r="CI982" s="63"/>
    </row>
    <row r="983" ht="12.75" customHeight="1">
      <c r="CI983" s="63"/>
    </row>
    <row r="984" ht="12.75" customHeight="1">
      <c r="CI984" s="63"/>
    </row>
    <row r="985" ht="12.75" customHeight="1">
      <c r="CI985" s="63"/>
    </row>
    <row r="986" ht="12.75" customHeight="1">
      <c r="CI986" s="63"/>
    </row>
    <row r="987" ht="12.75" customHeight="1">
      <c r="CI987" s="63"/>
    </row>
    <row r="988" ht="12.75" customHeight="1">
      <c r="CI988" s="63"/>
    </row>
    <row r="989" ht="12.75" customHeight="1">
      <c r="CI989" s="63"/>
    </row>
    <row r="990" ht="12.75" customHeight="1">
      <c r="CI990" s="63"/>
    </row>
    <row r="991" ht="12.75" customHeight="1">
      <c r="CI991" s="63"/>
    </row>
    <row r="992" ht="12.75" customHeight="1">
      <c r="CI992" s="63"/>
    </row>
    <row r="993" ht="12.75" customHeight="1">
      <c r="CI993" s="63"/>
    </row>
    <row r="994" ht="12.75" customHeight="1">
      <c r="CI994" s="63"/>
    </row>
    <row r="995" ht="12.75" customHeight="1">
      <c r="CI995" s="63"/>
    </row>
    <row r="996" ht="12.75" customHeight="1">
      <c r="CI996" s="63"/>
    </row>
    <row r="997" ht="12.75" customHeight="1">
      <c r="CI997" s="63"/>
    </row>
    <row r="998" ht="12.75" customHeight="1">
      <c r="CI998" s="63"/>
    </row>
    <row r="999" ht="12.75" customHeight="1">
      <c r="CI999" s="63"/>
    </row>
    <row r="1000" ht="12.75" customHeight="1">
      <c r="CI1000" s="63"/>
    </row>
  </sheetData>
  <printOptions/>
  <pageMargins bottom="0.984251969" footer="0.0" header="0.0" left="0.787401575" right="0.787401575" top="0.984251969"/>
  <pageSetup orientation="landscape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B050"/>
    <pageSetUpPr/>
  </sheetPr>
  <sheetViews>
    <sheetView workbookViewId="0"/>
  </sheetViews>
  <sheetFormatPr customHeight="1" defaultColWidth="14.43" defaultRowHeight="15.0"/>
  <cols>
    <col customWidth="1" min="1" max="1" width="14.71"/>
    <col customWidth="1" min="2" max="2" width="8.71"/>
    <col customWidth="1" min="3" max="3" width="11.14"/>
    <col customWidth="1" min="4" max="4" width="8.14"/>
    <col customWidth="1" min="5" max="5" width="8.71"/>
    <col customWidth="1" min="6" max="6" width="3.29"/>
    <col customWidth="1" min="7" max="7" width="10.71"/>
    <col customWidth="1" min="8" max="8" width="2.43"/>
    <col customWidth="1" min="9" max="9" width="16.14"/>
    <col customWidth="1" min="10" max="10" width="4.86"/>
    <col customWidth="1" min="11" max="11" width="8.43"/>
    <col customWidth="1" min="12" max="12" width="18.71"/>
    <col customWidth="1" min="13" max="13" width="10.29"/>
    <col customWidth="1" min="14" max="14" width="3.29"/>
    <col customWidth="1" min="15" max="15" width="10.71"/>
    <col customWidth="1" min="16" max="16" width="1.71"/>
    <col customWidth="1" min="17" max="17" width="14.57"/>
    <col customWidth="1" min="18" max="18" width="8.14"/>
    <col customWidth="1" min="19" max="19" width="8.43"/>
    <col customWidth="1" min="20" max="20" width="8.14"/>
    <col customWidth="1" min="21" max="21" width="8.71"/>
    <col customWidth="1" min="22" max="22" width="7.0"/>
    <col customWidth="1" min="23" max="23" width="10.71"/>
    <col customWidth="1" min="24" max="24" width="8.71"/>
    <col customWidth="1" hidden="1" min="25" max="25" width="10.29"/>
    <col customWidth="1" hidden="1" min="26" max="27" width="8.71"/>
    <col customWidth="1" hidden="1" min="28" max="28" width="11.43"/>
    <col customWidth="1" hidden="1" min="29" max="35" width="8.71"/>
  </cols>
  <sheetData>
    <row r="1" ht="12.75" customHeight="1">
      <c r="A1" s="3" t="s">
        <v>87</v>
      </c>
      <c r="B1" s="62" t="b">
        <f>'zadání'!D18</f>
        <v>0</v>
      </c>
      <c r="C1" s="62"/>
      <c r="D1" s="62"/>
      <c r="E1" s="62"/>
      <c r="F1" s="62"/>
      <c r="G1" s="62"/>
      <c r="H1" s="62"/>
      <c r="I1" s="62"/>
      <c r="J1" s="62"/>
      <c r="K1" s="62"/>
      <c r="L1" s="62"/>
      <c r="M1" s="62"/>
      <c r="N1" s="62"/>
      <c r="O1" s="62"/>
      <c r="P1" s="62"/>
      <c r="Q1" s="62"/>
      <c r="R1" s="62"/>
      <c r="S1" s="62"/>
      <c r="T1" s="62"/>
      <c r="U1" s="62"/>
    </row>
    <row r="2" ht="12.75" customHeight="1">
      <c r="Y2" s="71" t="s">
        <v>88</v>
      </c>
      <c r="Z2" s="72"/>
      <c r="AA2" s="72"/>
      <c r="AB2" s="72"/>
      <c r="AC2" s="72"/>
      <c r="AD2" s="72"/>
      <c r="AE2" s="72"/>
      <c r="AF2" s="72"/>
      <c r="AG2" s="72"/>
      <c r="AH2" s="72"/>
      <c r="AI2" s="73" t="s">
        <v>89</v>
      </c>
    </row>
    <row r="3" ht="12.75" customHeight="1">
      <c r="A3" s="64" t="s">
        <v>43</v>
      </c>
      <c r="B3" s="65" t="s">
        <v>81</v>
      </c>
      <c r="C3" s="65" t="s">
        <v>82</v>
      </c>
      <c r="D3" s="65" t="s">
        <v>83</v>
      </c>
      <c r="E3" s="65" t="s">
        <v>84</v>
      </c>
      <c r="F3" s="63" t="b">
        <f>B1</f>
        <v>0</v>
      </c>
      <c r="G3" s="74" t="s">
        <v>84</v>
      </c>
      <c r="I3" s="64" t="s">
        <v>50</v>
      </c>
      <c r="J3" s="65" t="s">
        <v>81</v>
      </c>
      <c r="K3" s="65" t="s">
        <v>82</v>
      </c>
      <c r="L3" s="65" t="s">
        <v>83</v>
      </c>
      <c r="M3" s="65" t="s">
        <v>84</v>
      </c>
      <c r="N3" s="63" t="b">
        <f>B1</f>
        <v>0</v>
      </c>
      <c r="O3" s="74" t="s">
        <v>84</v>
      </c>
      <c r="Q3" s="64" t="s">
        <v>90</v>
      </c>
      <c r="R3" s="65" t="s">
        <v>81</v>
      </c>
      <c r="S3" s="65" t="s">
        <v>82</v>
      </c>
      <c r="T3" s="65" t="s">
        <v>83</v>
      </c>
      <c r="U3" s="65" t="s">
        <v>84</v>
      </c>
      <c r="V3" s="75" t="b">
        <f>B1</f>
        <v>0</v>
      </c>
      <c r="W3" s="74" t="s">
        <v>84</v>
      </c>
      <c r="Y3" s="76"/>
      <c r="Z3" s="77"/>
      <c r="AA3" s="77"/>
      <c r="AB3" s="77"/>
      <c r="AC3" s="77"/>
      <c r="AD3" s="77"/>
      <c r="AE3" s="77"/>
      <c r="AF3" s="77"/>
      <c r="AG3" s="77"/>
      <c r="AH3" s="77"/>
      <c r="AI3" s="78"/>
    </row>
    <row r="4" ht="12.75" customHeight="1">
      <c r="A4" s="68" t="s">
        <v>91</v>
      </c>
      <c r="B4" s="65" t="s">
        <v>92</v>
      </c>
      <c r="C4" s="79"/>
      <c r="D4" s="65">
        <v>9.0</v>
      </c>
      <c r="E4" s="80">
        <f t="shared" ref="E4:E13" si="1">C4*D4</f>
        <v>0</v>
      </c>
      <c r="F4" s="9" t="b">
        <f t="shared" ref="F4:F13" si="2">F3</f>
        <v>0</v>
      </c>
      <c r="G4" s="81">
        <f t="shared" ref="G4:G13" si="3">IF(F4,E4*1.21,E4)</f>
        <v>0</v>
      </c>
      <c r="I4" s="67" t="s">
        <v>53</v>
      </c>
      <c r="J4" s="65" t="s">
        <v>93</v>
      </c>
      <c r="K4" s="79"/>
      <c r="L4" s="65">
        <f>IF(K4 &gt; 0,VLOOKUP(I4,'Ceník mechanizace'!$B$8:$D$31,3,0),0)</f>
        <v>0</v>
      </c>
      <c r="M4" s="80">
        <f t="shared" ref="M4:M13" si="4">K4*L4</f>
        <v>0</v>
      </c>
      <c r="N4" s="9" t="b">
        <f t="shared" ref="N4:N13" si="5">N3</f>
        <v>0</v>
      </c>
      <c r="O4" s="81">
        <f t="shared" ref="O4:O13" si="6">IF(N4,M4*1.21,M4)</f>
        <v>0</v>
      </c>
      <c r="Q4" s="67"/>
      <c r="R4" s="65"/>
      <c r="S4" s="65"/>
      <c r="T4" s="82"/>
      <c r="U4" s="80">
        <f t="shared" ref="U4:U12" si="7">S4*T4</f>
        <v>0</v>
      </c>
      <c r="V4" s="9" t="b">
        <f t="shared" ref="V4:V12" si="8">V3</f>
        <v>0</v>
      </c>
      <c r="W4" s="81">
        <f t="shared" ref="W4:W12" si="9">IF(V4,U4*1.21,U4)</f>
        <v>0</v>
      </c>
      <c r="Y4" s="83"/>
      <c r="AI4" s="84"/>
    </row>
    <row r="5" ht="12.75" customHeight="1">
      <c r="A5" s="68" t="s">
        <v>95</v>
      </c>
      <c r="B5" s="65" t="s">
        <v>92</v>
      </c>
      <c r="C5" s="79"/>
      <c r="D5" s="65">
        <v>3.0</v>
      </c>
      <c r="E5" s="80">
        <f t="shared" si="1"/>
        <v>0</v>
      </c>
      <c r="F5" s="9" t="b">
        <f t="shared" si="2"/>
        <v>0</v>
      </c>
      <c r="G5" s="81">
        <f t="shared" si="3"/>
        <v>0</v>
      </c>
      <c r="I5" s="67" t="s">
        <v>54</v>
      </c>
      <c r="J5" s="65" t="s">
        <v>93</v>
      </c>
      <c r="K5" s="79"/>
      <c r="L5" s="65">
        <f>IF(K5 &gt; 0,VLOOKUP(I5,'Ceník mechanizace'!$B$8:$D$31,3,0),0)</f>
        <v>0</v>
      </c>
      <c r="M5" s="80">
        <f t="shared" si="4"/>
        <v>0</v>
      </c>
      <c r="N5" s="9" t="b">
        <f t="shared" si="5"/>
        <v>0</v>
      </c>
      <c r="O5" s="81">
        <f t="shared" si="6"/>
        <v>0</v>
      </c>
      <c r="Q5" s="67"/>
      <c r="R5" s="65"/>
      <c r="S5" s="65"/>
      <c r="T5" s="65"/>
      <c r="U5" s="80">
        <f t="shared" si="7"/>
        <v>0</v>
      </c>
      <c r="V5" s="9" t="b">
        <f t="shared" si="8"/>
        <v>0</v>
      </c>
      <c r="W5" s="81">
        <f t="shared" si="9"/>
        <v>0</v>
      </c>
      <c r="Y5" s="83"/>
      <c r="AI5" s="84"/>
    </row>
    <row r="6" ht="12.75" customHeight="1">
      <c r="A6" s="67" t="s">
        <v>95</v>
      </c>
      <c r="B6" s="65" t="s">
        <v>98</v>
      </c>
      <c r="C6" s="65">
        <f>IF(C5 &gt; 0, 1, 0)</f>
        <v>0</v>
      </c>
      <c r="D6" s="65">
        <v>200.0</v>
      </c>
      <c r="E6" s="80">
        <f t="shared" si="1"/>
        <v>0</v>
      </c>
      <c r="F6" s="9" t="b">
        <f t="shared" si="2"/>
        <v>0</v>
      </c>
      <c r="G6" s="81">
        <f t="shared" si="3"/>
        <v>0</v>
      </c>
      <c r="I6" s="87" t="s">
        <v>55</v>
      </c>
      <c r="J6" s="65" t="s">
        <v>93</v>
      </c>
      <c r="K6" s="79"/>
      <c r="L6" s="65">
        <f>IF(K6 &gt; 0,VLOOKUP(I6,'Ceník mechanizace'!$B$8:$D$31,3,0),0)</f>
        <v>0</v>
      </c>
      <c r="M6" s="80">
        <f t="shared" si="4"/>
        <v>0</v>
      </c>
      <c r="N6" s="9" t="b">
        <f t="shared" si="5"/>
        <v>0</v>
      </c>
      <c r="O6" s="81">
        <f t="shared" si="6"/>
        <v>0</v>
      </c>
      <c r="Q6" s="67"/>
      <c r="R6" s="65"/>
      <c r="S6" s="65"/>
      <c r="T6" s="65"/>
      <c r="U6" s="80">
        <f t="shared" si="7"/>
        <v>0</v>
      </c>
      <c r="V6" s="9" t="b">
        <f t="shared" si="8"/>
        <v>0</v>
      </c>
      <c r="W6" s="81">
        <f t="shared" si="9"/>
        <v>0</v>
      </c>
      <c r="Y6" s="83"/>
      <c r="AI6" s="84"/>
    </row>
    <row r="7" ht="12.75" customHeight="1">
      <c r="A7" s="68" t="s">
        <v>100</v>
      </c>
      <c r="B7" s="65" t="s">
        <v>93</v>
      </c>
      <c r="C7" s="79"/>
      <c r="D7" s="65">
        <v>250.0</v>
      </c>
      <c r="E7" s="80">
        <f t="shared" si="1"/>
        <v>0</v>
      </c>
      <c r="F7" s="9" t="b">
        <f t="shared" si="2"/>
        <v>0</v>
      </c>
      <c r="G7" s="81">
        <f t="shared" si="3"/>
        <v>0</v>
      </c>
      <c r="I7" s="87" t="s">
        <v>71</v>
      </c>
      <c r="J7" s="65" t="s">
        <v>93</v>
      </c>
      <c r="K7" s="79"/>
      <c r="L7" s="65">
        <f>IF(K7 &gt; 0,VLOOKUP(I7,'Ceník mechanizace'!$B$8:$D$31,3,0),0)</f>
        <v>0</v>
      </c>
      <c r="M7" s="80">
        <f t="shared" si="4"/>
        <v>0</v>
      </c>
      <c r="N7" s="9" t="b">
        <f t="shared" si="5"/>
        <v>0</v>
      </c>
      <c r="O7" s="81">
        <f t="shared" si="6"/>
        <v>0</v>
      </c>
      <c r="Q7" s="67"/>
      <c r="R7" s="65"/>
      <c r="S7" s="65"/>
      <c r="T7" s="65"/>
      <c r="U7" s="80">
        <f t="shared" si="7"/>
        <v>0</v>
      </c>
      <c r="V7" s="9" t="b">
        <f t="shared" si="8"/>
        <v>0</v>
      </c>
      <c r="W7" s="81">
        <f t="shared" si="9"/>
        <v>0</v>
      </c>
      <c r="Y7" s="83"/>
      <c r="AI7" s="84"/>
    </row>
    <row r="8" ht="12.75" customHeight="1">
      <c r="A8" s="67"/>
      <c r="B8" s="65"/>
      <c r="C8" s="65"/>
      <c r="D8" s="65"/>
      <c r="E8" s="80">
        <f t="shared" si="1"/>
        <v>0</v>
      </c>
      <c r="F8" s="9" t="b">
        <f t="shared" si="2"/>
        <v>0</v>
      </c>
      <c r="G8" s="81">
        <f t="shared" si="3"/>
        <v>0</v>
      </c>
      <c r="I8" s="67"/>
      <c r="J8" s="65" t="s">
        <v>93</v>
      </c>
      <c r="K8" s="79"/>
      <c r="L8" s="65">
        <f>IF(K8 &gt; 0,VLOOKUP(I8,'Ceník mechanizace'!$B$8:$D$31,3,0),0)</f>
        <v>0</v>
      </c>
      <c r="M8" s="80">
        <f t="shared" si="4"/>
        <v>0</v>
      </c>
      <c r="N8" s="9" t="b">
        <f t="shared" si="5"/>
        <v>0</v>
      </c>
      <c r="O8" s="81">
        <f t="shared" si="6"/>
        <v>0</v>
      </c>
      <c r="Q8" s="67"/>
      <c r="R8" s="65"/>
      <c r="S8" s="65"/>
      <c r="T8" s="65"/>
      <c r="U8" s="80">
        <f t="shared" si="7"/>
        <v>0</v>
      </c>
      <c r="V8" s="9" t="b">
        <f t="shared" si="8"/>
        <v>0</v>
      </c>
      <c r="W8" s="81">
        <f t="shared" si="9"/>
        <v>0</v>
      </c>
      <c r="Y8" s="83"/>
      <c r="AI8" s="84"/>
    </row>
    <row r="9" ht="12.75" customHeight="1">
      <c r="A9" s="67"/>
      <c r="B9" s="65"/>
      <c r="C9" s="65"/>
      <c r="D9" s="65"/>
      <c r="E9" s="80">
        <f t="shared" si="1"/>
        <v>0</v>
      </c>
      <c r="F9" s="9" t="b">
        <f t="shared" si="2"/>
        <v>0</v>
      </c>
      <c r="G9" s="81">
        <f t="shared" si="3"/>
        <v>0</v>
      </c>
      <c r="I9" s="67"/>
      <c r="J9" s="65" t="s">
        <v>93</v>
      </c>
      <c r="K9" s="79"/>
      <c r="L9" s="65">
        <f>IF(K9 &gt; 0,VLOOKUP(I9,'Ceník mechanizace'!$B$8:$D$31,3,0),0)</f>
        <v>0</v>
      </c>
      <c r="M9" s="80">
        <f t="shared" si="4"/>
        <v>0</v>
      </c>
      <c r="N9" s="9" t="b">
        <f t="shared" si="5"/>
        <v>0</v>
      </c>
      <c r="O9" s="81">
        <f t="shared" si="6"/>
        <v>0</v>
      </c>
      <c r="Q9" s="67"/>
      <c r="R9" s="65"/>
      <c r="S9" s="65"/>
      <c r="T9" s="65"/>
      <c r="U9" s="80">
        <f t="shared" si="7"/>
        <v>0</v>
      </c>
      <c r="V9" s="9" t="b">
        <f t="shared" si="8"/>
        <v>0</v>
      </c>
      <c r="W9" s="81">
        <f t="shared" si="9"/>
        <v>0</v>
      </c>
      <c r="Y9" s="83"/>
      <c r="AI9" s="84"/>
    </row>
    <row r="10" ht="12.75" customHeight="1">
      <c r="A10" s="67"/>
      <c r="B10" s="65"/>
      <c r="C10" s="65"/>
      <c r="D10" s="65"/>
      <c r="E10" s="80">
        <f t="shared" si="1"/>
        <v>0</v>
      </c>
      <c r="F10" s="9" t="b">
        <f t="shared" si="2"/>
        <v>0</v>
      </c>
      <c r="G10" s="81">
        <f t="shared" si="3"/>
        <v>0</v>
      </c>
      <c r="I10" s="67"/>
      <c r="J10" s="65" t="s">
        <v>93</v>
      </c>
      <c r="K10" s="79"/>
      <c r="L10" s="65">
        <f>IF(K10 &gt; 0,VLOOKUP(I10,'Ceník mechanizace'!$B$8:$D$31,3,0),0)</f>
        <v>0</v>
      </c>
      <c r="M10" s="80">
        <f t="shared" si="4"/>
        <v>0</v>
      </c>
      <c r="N10" s="9" t="b">
        <f t="shared" si="5"/>
        <v>0</v>
      </c>
      <c r="O10" s="81">
        <f t="shared" si="6"/>
        <v>0</v>
      </c>
      <c r="Q10" s="67"/>
      <c r="R10" s="65"/>
      <c r="S10" s="65"/>
      <c r="T10" s="65"/>
      <c r="U10" s="80">
        <f t="shared" si="7"/>
        <v>0</v>
      </c>
      <c r="V10" s="9" t="b">
        <f t="shared" si="8"/>
        <v>0</v>
      </c>
      <c r="W10" s="81">
        <f t="shared" si="9"/>
        <v>0</v>
      </c>
      <c r="Y10" s="83"/>
      <c r="AI10" s="84"/>
    </row>
    <row r="11" ht="12.75" customHeight="1">
      <c r="A11" s="67"/>
      <c r="B11" s="65"/>
      <c r="C11" s="65"/>
      <c r="D11" s="65"/>
      <c r="E11" s="80">
        <f t="shared" si="1"/>
        <v>0</v>
      </c>
      <c r="F11" s="9" t="b">
        <f t="shared" si="2"/>
        <v>0</v>
      </c>
      <c r="G11" s="81">
        <f t="shared" si="3"/>
        <v>0</v>
      </c>
      <c r="I11" s="67"/>
      <c r="J11" s="65" t="s">
        <v>93</v>
      </c>
      <c r="K11" s="79"/>
      <c r="L11" s="65">
        <f>IF(K11 &gt; 0,VLOOKUP(I11,'Ceník mechanizace'!$B$8:$D$31,3,0),0)</f>
        <v>0</v>
      </c>
      <c r="M11" s="80">
        <f t="shared" si="4"/>
        <v>0</v>
      </c>
      <c r="N11" s="9" t="b">
        <f t="shared" si="5"/>
        <v>0</v>
      </c>
      <c r="O11" s="81">
        <f t="shared" si="6"/>
        <v>0</v>
      </c>
      <c r="Q11" s="67"/>
      <c r="R11" s="65"/>
      <c r="S11" s="65"/>
      <c r="T11" s="65"/>
      <c r="U11" s="80">
        <f t="shared" si="7"/>
        <v>0</v>
      </c>
      <c r="V11" s="9" t="b">
        <f t="shared" si="8"/>
        <v>0</v>
      </c>
      <c r="W11" s="81">
        <f t="shared" si="9"/>
        <v>0</v>
      </c>
      <c r="Y11" s="83"/>
      <c r="AI11" s="84"/>
    </row>
    <row r="12" ht="12.75" customHeight="1">
      <c r="A12" s="67"/>
      <c r="B12" s="65"/>
      <c r="C12" s="65"/>
      <c r="D12" s="65"/>
      <c r="E12" s="80">
        <f t="shared" si="1"/>
        <v>0</v>
      </c>
      <c r="F12" s="9" t="b">
        <f t="shared" si="2"/>
        <v>0</v>
      </c>
      <c r="G12" s="81">
        <f t="shared" si="3"/>
        <v>0</v>
      </c>
      <c r="I12" s="87" t="s">
        <v>70</v>
      </c>
      <c r="J12" s="65" t="s">
        <v>93</v>
      </c>
      <c r="K12" s="79">
        <f>K4+K5+K6</f>
        <v>0</v>
      </c>
      <c r="L12" s="65">
        <f>IF(K12 &gt; 0,VLOOKUP(I12,'Ceník mechanizace'!$B$8:$D$31,3,0),0)</f>
        <v>0</v>
      </c>
      <c r="M12" s="80">
        <f t="shared" si="4"/>
        <v>0</v>
      </c>
      <c r="N12" s="9" t="b">
        <f t="shared" si="5"/>
        <v>0</v>
      </c>
      <c r="O12" s="81">
        <f t="shared" si="6"/>
        <v>0</v>
      </c>
      <c r="Q12" s="67"/>
      <c r="R12" s="65"/>
      <c r="S12" s="65"/>
      <c r="T12" s="65"/>
      <c r="U12" s="80">
        <f t="shared" si="7"/>
        <v>0</v>
      </c>
      <c r="V12" s="9" t="b">
        <f t="shared" si="8"/>
        <v>0</v>
      </c>
      <c r="W12" s="81">
        <f t="shared" si="9"/>
        <v>0</v>
      </c>
      <c r="Y12" s="83"/>
      <c r="AI12" s="84"/>
    </row>
    <row r="13" ht="12.75" customHeight="1">
      <c r="A13" s="67"/>
      <c r="B13" s="65"/>
      <c r="C13" s="65"/>
      <c r="D13" s="65"/>
      <c r="E13" s="80">
        <f t="shared" si="1"/>
        <v>0</v>
      </c>
      <c r="F13" s="9" t="b">
        <f t="shared" si="2"/>
        <v>0</v>
      </c>
      <c r="G13" s="81">
        <f t="shared" si="3"/>
        <v>0</v>
      </c>
      <c r="I13" s="87" t="s">
        <v>69</v>
      </c>
      <c r="J13" s="65" t="s">
        <v>93</v>
      </c>
      <c r="K13" s="79" t="str">
        <f>K7</f>
        <v/>
      </c>
      <c r="L13" s="65">
        <f>IF(K13 &gt; 0,VLOOKUP(I13,'Ceník mechanizace'!$B$8:$D$31,3,0),0)</f>
        <v>0</v>
      </c>
      <c r="M13" s="80">
        <f t="shared" si="4"/>
        <v>0</v>
      </c>
      <c r="N13" s="9" t="b">
        <f t="shared" si="5"/>
        <v>0</v>
      </c>
      <c r="O13" s="81">
        <f t="shared" si="6"/>
        <v>0</v>
      </c>
      <c r="Q13" s="67"/>
      <c r="R13" s="65"/>
      <c r="S13" s="65"/>
      <c r="T13" s="65"/>
      <c r="U13" s="80"/>
      <c r="V13" s="9" t="b">
        <v>0</v>
      </c>
      <c r="W13" s="86"/>
      <c r="Y13" s="92"/>
      <c r="Z13" s="48"/>
      <c r="AA13" s="48"/>
      <c r="AB13" s="48"/>
      <c r="AC13" s="48"/>
      <c r="AD13" s="48"/>
      <c r="AE13" s="48"/>
      <c r="AF13" s="48"/>
      <c r="AG13" s="48"/>
      <c r="AH13" s="48"/>
      <c r="AI13" s="93"/>
    </row>
    <row r="14" ht="12.75" customHeight="1">
      <c r="A14" s="94" t="s">
        <v>103</v>
      </c>
      <c r="B14" s="95" t="s">
        <v>104</v>
      </c>
      <c r="C14" s="95" t="s">
        <v>104</v>
      </c>
      <c r="D14" s="95" t="s">
        <v>104</v>
      </c>
      <c r="E14" s="80">
        <f>SUM(E4:E13)</f>
        <v>0</v>
      </c>
      <c r="F14" s="80" t="s">
        <v>105</v>
      </c>
      <c r="G14" s="96">
        <f>SUM(G4:G13)</f>
        <v>0</v>
      </c>
      <c r="I14" s="97" t="str">
        <f>A14</f>
        <v>Celkem</v>
      </c>
      <c r="J14" s="95" t="s">
        <v>104</v>
      </c>
      <c r="K14" s="95" t="s">
        <v>104</v>
      </c>
      <c r="L14" s="95" t="s">
        <v>104</v>
      </c>
      <c r="M14" s="80">
        <f>SUM(M4:M13)</f>
        <v>0</v>
      </c>
      <c r="N14" s="80" t="s">
        <v>105</v>
      </c>
      <c r="O14" s="96">
        <f>SUM(O4:O13)</f>
        <v>0</v>
      </c>
      <c r="Q14" s="97" t="str">
        <f>A14</f>
        <v>Celkem</v>
      </c>
      <c r="R14" s="95" t="s">
        <v>104</v>
      </c>
      <c r="S14" s="95" t="s">
        <v>104</v>
      </c>
      <c r="T14" s="95" t="s">
        <v>104</v>
      </c>
      <c r="U14" s="80">
        <f>SUM(U4:U11)</f>
        <v>0</v>
      </c>
      <c r="V14" s="80" t="s">
        <v>105</v>
      </c>
      <c r="W14" s="96">
        <f>SUM(W4:W13)</f>
        <v>0</v>
      </c>
    </row>
    <row r="15" ht="12.75" customHeight="1">
      <c r="E15" s="63"/>
      <c r="F15" s="63"/>
      <c r="G15" s="63"/>
    </row>
    <row r="16" ht="12.75" customHeight="1">
      <c r="A16" s="64" t="s">
        <v>90</v>
      </c>
      <c r="B16" s="65" t="s">
        <v>81</v>
      </c>
      <c r="C16" s="65" t="s">
        <v>82</v>
      </c>
      <c r="D16" s="65" t="s">
        <v>83</v>
      </c>
      <c r="E16" s="65" t="s">
        <v>84</v>
      </c>
      <c r="F16" s="63" t="b">
        <f>B1</f>
        <v>0</v>
      </c>
      <c r="G16" s="74" t="s">
        <v>84</v>
      </c>
      <c r="I16" s="64" t="s">
        <v>90</v>
      </c>
      <c r="J16" s="65" t="s">
        <v>81</v>
      </c>
      <c r="K16" s="65" t="s">
        <v>82</v>
      </c>
      <c r="L16" s="65" t="s">
        <v>83</v>
      </c>
      <c r="M16" s="65" t="s">
        <v>84</v>
      </c>
      <c r="N16" s="63" t="b">
        <f>B1</f>
        <v>0</v>
      </c>
      <c r="O16" s="74" t="s">
        <v>84</v>
      </c>
      <c r="Q16" s="64" t="s">
        <v>90</v>
      </c>
      <c r="R16" s="65" t="s">
        <v>81</v>
      </c>
      <c r="S16" s="65" t="s">
        <v>82</v>
      </c>
      <c r="T16" s="65" t="s">
        <v>83</v>
      </c>
      <c r="U16" s="65" t="s">
        <v>84</v>
      </c>
      <c r="V16" s="9" t="b">
        <f>B1</f>
        <v>0</v>
      </c>
      <c r="W16" s="74" t="s">
        <v>84</v>
      </c>
      <c r="Y16" s="100" t="s">
        <v>106</v>
      </c>
      <c r="Z16" s="65" t="s">
        <v>81</v>
      </c>
      <c r="AA16" s="65" t="s">
        <v>82</v>
      </c>
      <c r="AB16" s="65" t="s">
        <v>83</v>
      </c>
      <c r="AC16" s="65" t="s">
        <v>84</v>
      </c>
      <c r="AD16" s="67" t="b">
        <f>B1</f>
        <v>0</v>
      </c>
      <c r="AE16" s="74" t="s">
        <v>84</v>
      </c>
    </row>
    <row r="17" ht="12.75" customHeight="1">
      <c r="A17" s="67"/>
      <c r="B17" s="65"/>
      <c r="C17" s="65"/>
      <c r="D17" s="82"/>
      <c r="E17" s="80">
        <f t="shared" ref="E17:E27" si="10">C17*D17</f>
        <v>0</v>
      </c>
      <c r="F17" s="9" t="b">
        <f t="shared" ref="F17:F27" si="11">F16</f>
        <v>0</v>
      </c>
      <c r="G17" s="81">
        <f t="shared" ref="G17:G27" si="12">IF(F17,E17*1.21,E17)</f>
        <v>0</v>
      </c>
      <c r="I17" s="67"/>
      <c r="J17" s="65"/>
      <c r="K17" s="65"/>
      <c r="L17" s="65"/>
      <c r="M17" s="80">
        <f t="shared" ref="M17:M27" si="13">K17*L17</f>
        <v>0</v>
      </c>
      <c r="N17" s="9" t="b">
        <f t="shared" ref="N17:N26" si="14">N16</f>
        <v>0</v>
      </c>
      <c r="O17" s="81">
        <f t="shared" ref="O17:O27" si="15">IF(N17,M17*1.21,M17)</f>
        <v>0</v>
      </c>
      <c r="Q17" s="67"/>
      <c r="R17" s="65"/>
      <c r="S17" s="65"/>
      <c r="T17" s="82"/>
      <c r="U17" s="80">
        <f t="shared" ref="U17:U27" si="16">S17*T17</f>
        <v>0</v>
      </c>
      <c r="V17" s="9" t="b">
        <f t="shared" ref="V17:V26" si="17">V16</f>
        <v>0</v>
      </c>
      <c r="W17" s="81">
        <f t="shared" ref="W17:W27" si="18">IF(V17,U17*1.21,U17)</f>
        <v>0</v>
      </c>
      <c r="Y17" s="67"/>
      <c r="Z17" s="65"/>
      <c r="AA17" s="65"/>
      <c r="AB17" s="82"/>
      <c r="AC17" s="80">
        <f t="shared" ref="AC17:AC27" si="19">AA17*AB17</f>
        <v>0</v>
      </c>
      <c r="AD17" s="9" t="b">
        <f t="shared" ref="AD17:AD26" si="20">AD16</f>
        <v>0</v>
      </c>
      <c r="AE17" s="81">
        <f t="shared" ref="AE17:AE27" si="21">IF(AD17,AC17*1.21,AC17)</f>
        <v>0</v>
      </c>
    </row>
    <row r="18" ht="12.75" customHeight="1">
      <c r="A18" s="67"/>
      <c r="B18" s="65"/>
      <c r="C18" s="65"/>
      <c r="D18" s="82"/>
      <c r="E18" s="80">
        <f t="shared" si="10"/>
        <v>0</v>
      </c>
      <c r="F18" s="9" t="b">
        <f t="shared" si="11"/>
        <v>0</v>
      </c>
      <c r="G18" s="81">
        <f t="shared" si="12"/>
        <v>0</v>
      </c>
      <c r="I18" s="67"/>
      <c r="J18" s="65"/>
      <c r="K18" s="65"/>
      <c r="L18" s="82"/>
      <c r="M18" s="80">
        <f t="shared" si="13"/>
        <v>0</v>
      </c>
      <c r="N18" s="9" t="b">
        <f t="shared" si="14"/>
        <v>0</v>
      </c>
      <c r="O18" s="81">
        <f t="shared" si="15"/>
        <v>0</v>
      </c>
      <c r="Q18" s="67"/>
      <c r="R18" s="65"/>
      <c r="S18" s="65"/>
      <c r="T18" s="82"/>
      <c r="U18" s="80">
        <f t="shared" si="16"/>
        <v>0</v>
      </c>
      <c r="V18" s="9" t="b">
        <f t="shared" si="17"/>
        <v>0</v>
      </c>
      <c r="W18" s="81">
        <f t="shared" si="18"/>
        <v>0</v>
      </c>
      <c r="Y18" s="67"/>
      <c r="Z18" s="65"/>
      <c r="AA18" s="65"/>
      <c r="AB18" s="82"/>
      <c r="AC18" s="80">
        <f t="shared" si="19"/>
        <v>0</v>
      </c>
      <c r="AD18" s="9" t="b">
        <f t="shared" si="20"/>
        <v>0</v>
      </c>
      <c r="AE18" s="81">
        <f t="shared" si="21"/>
        <v>0</v>
      </c>
    </row>
    <row r="19" ht="12.75" customHeight="1">
      <c r="A19" s="67"/>
      <c r="B19" s="65"/>
      <c r="C19" s="65"/>
      <c r="D19" s="82"/>
      <c r="E19" s="80">
        <f t="shared" si="10"/>
        <v>0</v>
      </c>
      <c r="F19" s="9" t="b">
        <f t="shared" si="11"/>
        <v>0</v>
      </c>
      <c r="G19" s="81">
        <f t="shared" si="12"/>
        <v>0</v>
      </c>
      <c r="I19" s="67"/>
      <c r="J19" s="65"/>
      <c r="K19" s="65"/>
      <c r="L19" s="82"/>
      <c r="M19" s="80">
        <f t="shared" si="13"/>
        <v>0</v>
      </c>
      <c r="N19" s="9" t="b">
        <f t="shared" si="14"/>
        <v>0</v>
      </c>
      <c r="O19" s="81">
        <f t="shared" si="15"/>
        <v>0</v>
      </c>
      <c r="Q19" s="67"/>
      <c r="R19" s="65"/>
      <c r="S19" s="65"/>
      <c r="T19" s="82"/>
      <c r="U19" s="80">
        <f t="shared" si="16"/>
        <v>0</v>
      </c>
      <c r="V19" s="9" t="b">
        <f t="shared" si="17"/>
        <v>0</v>
      </c>
      <c r="W19" s="81">
        <f t="shared" si="18"/>
        <v>0</v>
      </c>
      <c r="Y19" s="67"/>
      <c r="Z19" s="65"/>
      <c r="AA19" s="65"/>
      <c r="AB19" s="82"/>
      <c r="AC19" s="80">
        <f t="shared" si="19"/>
        <v>0</v>
      </c>
      <c r="AD19" s="9" t="b">
        <f t="shared" si="20"/>
        <v>0</v>
      </c>
      <c r="AE19" s="81">
        <f t="shared" si="21"/>
        <v>0</v>
      </c>
    </row>
    <row r="20" ht="12.75" customHeight="1">
      <c r="A20" s="67"/>
      <c r="B20" s="65"/>
      <c r="C20" s="65"/>
      <c r="D20" s="82"/>
      <c r="E20" s="80">
        <f t="shared" si="10"/>
        <v>0</v>
      </c>
      <c r="F20" s="9" t="b">
        <f t="shared" si="11"/>
        <v>0</v>
      </c>
      <c r="G20" s="81">
        <f t="shared" si="12"/>
        <v>0</v>
      </c>
      <c r="I20" s="67"/>
      <c r="J20" s="65"/>
      <c r="K20" s="65"/>
      <c r="L20" s="82"/>
      <c r="M20" s="80">
        <f t="shared" si="13"/>
        <v>0</v>
      </c>
      <c r="N20" s="9" t="b">
        <f t="shared" si="14"/>
        <v>0</v>
      </c>
      <c r="O20" s="81">
        <f t="shared" si="15"/>
        <v>0</v>
      </c>
      <c r="Q20" s="67"/>
      <c r="R20" s="65"/>
      <c r="S20" s="65"/>
      <c r="T20" s="82"/>
      <c r="U20" s="80">
        <f t="shared" si="16"/>
        <v>0</v>
      </c>
      <c r="V20" s="9" t="b">
        <f t="shared" si="17"/>
        <v>0</v>
      </c>
      <c r="W20" s="81">
        <f t="shared" si="18"/>
        <v>0</v>
      </c>
      <c r="Y20" s="67"/>
      <c r="Z20" s="65"/>
      <c r="AA20" s="65"/>
      <c r="AB20" s="82"/>
      <c r="AC20" s="80">
        <f t="shared" si="19"/>
        <v>0</v>
      </c>
      <c r="AD20" s="9" t="b">
        <f t="shared" si="20"/>
        <v>0</v>
      </c>
      <c r="AE20" s="81">
        <f t="shared" si="21"/>
        <v>0</v>
      </c>
    </row>
    <row r="21" ht="12.75" customHeight="1">
      <c r="A21" s="67"/>
      <c r="B21" s="65"/>
      <c r="C21" s="65"/>
      <c r="D21" s="82"/>
      <c r="E21" s="80">
        <f t="shared" si="10"/>
        <v>0</v>
      </c>
      <c r="F21" s="9" t="b">
        <f t="shared" si="11"/>
        <v>0</v>
      </c>
      <c r="G21" s="81">
        <f t="shared" si="12"/>
        <v>0</v>
      </c>
      <c r="I21" s="67"/>
      <c r="J21" s="65"/>
      <c r="K21" s="65"/>
      <c r="L21" s="82"/>
      <c r="M21" s="80">
        <f t="shared" si="13"/>
        <v>0</v>
      </c>
      <c r="N21" s="9" t="b">
        <f t="shared" si="14"/>
        <v>0</v>
      </c>
      <c r="O21" s="81">
        <f t="shared" si="15"/>
        <v>0</v>
      </c>
      <c r="Q21" s="67"/>
      <c r="R21" s="65"/>
      <c r="S21" s="65"/>
      <c r="T21" s="82"/>
      <c r="U21" s="80">
        <f t="shared" si="16"/>
        <v>0</v>
      </c>
      <c r="V21" s="9" t="b">
        <f t="shared" si="17"/>
        <v>0</v>
      </c>
      <c r="W21" s="81">
        <f t="shared" si="18"/>
        <v>0</v>
      </c>
      <c r="Y21" s="67"/>
      <c r="Z21" s="65"/>
      <c r="AA21" s="65"/>
      <c r="AB21" s="82"/>
      <c r="AC21" s="80">
        <f t="shared" si="19"/>
        <v>0</v>
      </c>
      <c r="AD21" s="9" t="b">
        <f t="shared" si="20"/>
        <v>0</v>
      </c>
      <c r="AE21" s="81">
        <f t="shared" si="21"/>
        <v>0</v>
      </c>
    </row>
    <row r="22" ht="12.75" customHeight="1">
      <c r="A22" s="67"/>
      <c r="B22" s="65"/>
      <c r="C22" s="65"/>
      <c r="D22" s="82"/>
      <c r="E22" s="80">
        <f t="shared" si="10"/>
        <v>0</v>
      </c>
      <c r="F22" s="9" t="b">
        <f t="shared" si="11"/>
        <v>0</v>
      </c>
      <c r="G22" s="81">
        <f t="shared" si="12"/>
        <v>0</v>
      </c>
      <c r="I22" s="67"/>
      <c r="J22" s="65"/>
      <c r="K22" s="65"/>
      <c r="L22" s="82"/>
      <c r="M22" s="80">
        <f t="shared" si="13"/>
        <v>0</v>
      </c>
      <c r="N22" s="9" t="b">
        <f t="shared" si="14"/>
        <v>0</v>
      </c>
      <c r="O22" s="81">
        <f t="shared" si="15"/>
        <v>0</v>
      </c>
      <c r="Q22" s="67"/>
      <c r="R22" s="65"/>
      <c r="S22" s="65"/>
      <c r="T22" s="82"/>
      <c r="U22" s="80">
        <f t="shared" si="16"/>
        <v>0</v>
      </c>
      <c r="V22" s="9" t="b">
        <f t="shared" si="17"/>
        <v>0</v>
      </c>
      <c r="W22" s="81">
        <f t="shared" si="18"/>
        <v>0</v>
      </c>
      <c r="Y22" s="67"/>
      <c r="Z22" s="65"/>
      <c r="AA22" s="65"/>
      <c r="AB22" s="82"/>
      <c r="AC22" s="80">
        <f t="shared" si="19"/>
        <v>0</v>
      </c>
      <c r="AD22" s="9" t="b">
        <f t="shared" si="20"/>
        <v>0</v>
      </c>
      <c r="AE22" s="81">
        <f t="shared" si="21"/>
        <v>0</v>
      </c>
    </row>
    <row r="23" ht="12.75" customHeight="1">
      <c r="A23" s="67"/>
      <c r="B23" s="65"/>
      <c r="C23" s="65"/>
      <c r="D23" s="82"/>
      <c r="E23" s="80">
        <f t="shared" si="10"/>
        <v>0</v>
      </c>
      <c r="F23" s="9" t="b">
        <f t="shared" si="11"/>
        <v>0</v>
      </c>
      <c r="G23" s="81">
        <f t="shared" si="12"/>
        <v>0</v>
      </c>
      <c r="I23" s="67"/>
      <c r="J23" s="65"/>
      <c r="K23" s="65"/>
      <c r="L23" s="82"/>
      <c r="M23" s="80">
        <f t="shared" si="13"/>
        <v>0</v>
      </c>
      <c r="N23" s="9" t="b">
        <f t="shared" si="14"/>
        <v>0</v>
      </c>
      <c r="O23" s="81">
        <f t="shared" si="15"/>
        <v>0</v>
      </c>
      <c r="Q23" s="67"/>
      <c r="R23" s="65"/>
      <c r="S23" s="65"/>
      <c r="T23" s="82"/>
      <c r="U23" s="80">
        <f t="shared" si="16"/>
        <v>0</v>
      </c>
      <c r="V23" s="9" t="b">
        <f t="shared" si="17"/>
        <v>0</v>
      </c>
      <c r="W23" s="81">
        <f t="shared" si="18"/>
        <v>0</v>
      </c>
      <c r="Y23" s="67"/>
      <c r="Z23" s="65"/>
      <c r="AA23" s="65"/>
      <c r="AB23" s="82"/>
      <c r="AC23" s="80">
        <f t="shared" si="19"/>
        <v>0</v>
      </c>
      <c r="AD23" s="9" t="b">
        <f t="shared" si="20"/>
        <v>0</v>
      </c>
      <c r="AE23" s="81">
        <f t="shared" si="21"/>
        <v>0</v>
      </c>
    </row>
    <row r="24" ht="12.75" customHeight="1">
      <c r="A24" s="67"/>
      <c r="B24" s="65"/>
      <c r="C24" s="65"/>
      <c r="D24" s="82"/>
      <c r="E24" s="80">
        <f t="shared" si="10"/>
        <v>0</v>
      </c>
      <c r="F24" s="9" t="b">
        <f t="shared" si="11"/>
        <v>0</v>
      </c>
      <c r="G24" s="81">
        <f t="shared" si="12"/>
        <v>0</v>
      </c>
      <c r="I24" s="67"/>
      <c r="J24" s="65"/>
      <c r="K24" s="65"/>
      <c r="L24" s="82"/>
      <c r="M24" s="80">
        <f t="shared" si="13"/>
        <v>0</v>
      </c>
      <c r="N24" s="9" t="b">
        <f t="shared" si="14"/>
        <v>0</v>
      </c>
      <c r="O24" s="81">
        <f t="shared" si="15"/>
        <v>0</v>
      </c>
      <c r="Q24" s="67"/>
      <c r="R24" s="65"/>
      <c r="S24" s="65"/>
      <c r="T24" s="82"/>
      <c r="U24" s="80">
        <f t="shared" si="16"/>
        <v>0</v>
      </c>
      <c r="V24" s="9" t="b">
        <f t="shared" si="17"/>
        <v>0</v>
      </c>
      <c r="W24" s="81">
        <f t="shared" si="18"/>
        <v>0</v>
      </c>
      <c r="Y24" s="67"/>
      <c r="Z24" s="65"/>
      <c r="AA24" s="65"/>
      <c r="AB24" s="82"/>
      <c r="AC24" s="80">
        <f t="shared" si="19"/>
        <v>0</v>
      </c>
      <c r="AD24" s="9" t="b">
        <f t="shared" si="20"/>
        <v>0</v>
      </c>
      <c r="AE24" s="81">
        <f t="shared" si="21"/>
        <v>0</v>
      </c>
    </row>
    <row r="25" ht="12.75" customHeight="1">
      <c r="A25" s="67"/>
      <c r="B25" s="65"/>
      <c r="C25" s="65"/>
      <c r="D25" s="82"/>
      <c r="E25" s="80">
        <f t="shared" si="10"/>
        <v>0</v>
      </c>
      <c r="F25" s="9" t="b">
        <f t="shared" si="11"/>
        <v>0</v>
      </c>
      <c r="G25" s="81">
        <f t="shared" si="12"/>
        <v>0</v>
      </c>
      <c r="I25" s="67"/>
      <c r="J25" s="65"/>
      <c r="K25" s="65"/>
      <c r="L25" s="82"/>
      <c r="M25" s="80">
        <f t="shared" si="13"/>
        <v>0</v>
      </c>
      <c r="N25" s="9" t="b">
        <f t="shared" si="14"/>
        <v>0</v>
      </c>
      <c r="O25" s="81">
        <f t="shared" si="15"/>
        <v>0</v>
      </c>
      <c r="Q25" s="67"/>
      <c r="R25" s="65"/>
      <c r="S25" s="65"/>
      <c r="T25" s="82"/>
      <c r="U25" s="80">
        <f t="shared" si="16"/>
        <v>0</v>
      </c>
      <c r="V25" s="9" t="b">
        <f t="shared" si="17"/>
        <v>0</v>
      </c>
      <c r="W25" s="81">
        <f t="shared" si="18"/>
        <v>0</v>
      </c>
      <c r="Y25" s="67"/>
      <c r="Z25" s="65"/>
      <c r="AA25" s="65"/>
      <c r="AB25" s="82"/>
      <c r="AC25" s="80">
        <f t="shared" si="19"/>
        <v>0</v>
      </c>
      <c r="AD25" s="9" t="b">
        <f t="shared" si="20"/>
        <v>0</v>
      </c>
      <c r="AE25" s="81">
        <f t="shared" si="21"/>
        <v>0</v>
      </c>
    </row>
    <row r="26" ht="12.75" customHeight="1">
      <c r="A26" s="67"/>
      <c r="B26" s="65"/>
      <c r="C26" s="65"/>
      <c r="D26" s="82"/>
      <c r="E26" s="80">
        <f t="shared" si="10"/>
        <v>0</v>
      </c>
      <c r="F26" s="9" t="b">
        <f t="shared" si="11"/>
        <v>0</v>
      </c>
      <c r="G26" s="81">
        <f t="shared" si="12"/>
        <v>0</v>
      </c>
      <c r="I26" s="67"/>
      <c r="J26" s="65"/>
      <c r="K26" s="65"/>
      <c r="L26" s="82"/>
      <c r="M26" s="80">
        <f t="shared" si="13"/>
        <v>0</v>
      </c>
      <c r="N26" s="9" t="b">
        <f t="shared" si="14"/>
        <v>0</v>
      </c>
      <c r="O26" s="81">
        <f t="shared" si="15"/>
        <v>0</v>
      </c>
      <c r="Q26" s="67"/>
      <c r="R26" s="65"/>
      <c r="S26" s="65"/>
      <c r="T26" s="82"/>
      <c r="U26" s="80">
        <f t="shared" si="16"/>
        <v>0</v>
      </c>
      <c r="V26" s="9" t="b">
        <f t="shared" si="17"/>
        <v>0</v>
      </c>
      <c r="W26" s="81">
        <f t="shared" si="18"/>
        <v>0</v>
      </c>
      <c r="Y26" s="67"/>
      <c r="Z26" s="65"/>
      <c r="AA26" s="65"/>
      <c r="AB26" s="82"/>
      <c r="AC26" s="80">
        <f t="shared" si="19"/>
        <v>0</v>
      </c>
      <c r="AD26" s="9" t="b">
        <f t="shared" si="20"/>
        <v>0</v>
      </c>
      <c r="AE26" s="81">
        <f t="shared" si="21"/>
        <v>0</v>
      </c>
    </row>
    <row r="27" ht="12.75" customHeight="1">
      <c r="A27" s="67"/>
      <c r="B27" s="65"/>
      <c r="C27" s="65"/>
      <c r="D27" s="82"/>
      <c r="E27" s="80">
        <f t="shared" si="10"/>
        <v>0</v>
      </c>
      <c r="F27" s="9" t="b">
        <f t="shared" si="11"/>
        <v>0</v>
      </c>
      <c r="G27" s="81">
        <f t="shared" si="12"/>
        <v>0</v>
      </c>
      <c r="I27" s="67"/>
      <c r="J27" s="65"/>
      <c r="K27" s="65"/>
      <c r="L27" s="82"/>
      <c r="M27" s="80">
        <f t="shared" si="13"/>
        <v>0</v>
      </c>
      <c r="N27" s="9" t="b">
        <f>N25</f>
        <v>0</v>
      </c>
      <c r="O27" s="81">
        <f t="shared" si="15"/>
        <v>0</v>
      </c>
      <c r="Q27" s="67"/>
      <c r="R27" s="65"/>
      <c r="S27" s="65"/>
      <c r="T27" s="82"/>
      <c r="U27" s="80">
        <f t="shared" si="16"/>
        <v>0</v>
      </c>
      <c r="V27" s="9" t="b">
        <f>V25</f>
        <v>0</v>
      </c>
      <c r="W27" s="81">
        <f t="shared" si="18"/>
        <v>0</v>
      </c>
      <c r="Y27" s="67"/>
      <c r="Z27" s="65"/>
      <c r="AA27" s="65"/>
      <c r="AB27" s="82"/>
      <c r="AC27" s="80">
        <f t="shared" si="19"/>
        <v>0</v>
      </c>
      <c r="AE27" s="81">
        <f t="shared" si="21"/>
        <v>0</v>
      </c>
    </row>
    <row r="28" ht="12.75" customHeight="1">
      <c r="A28" s="97" t="str">
        <f>A14</f>
        <v>Celkem</v>
      </c>
      <c r="B28" s="95" t="s">
        <v>104</v>
      </c>
      <c r="C28" s="95" t="s">
        <v>104</v>
      </c>
      <c r="D28" s="95" t="s">
        <v>104</v>
      </c>
      <c r="E28" s="80">
        <f>SUM(E17:E27)</f>
        <v>0</v>
      </c>
      <c r="F28" s="80" t="s">
        <v>105</v>
      </c>
      <c r="G28" s="96">
        <f>SUM(G17:G27)</f>
        <v>0</v>
      </c>
      <c r="I28" s="97" t="str">
        <f>A14</f>
        <v>Celkem</v>
      </c>
      <c r="J28" s="95" t="s">
        <v>104</v>
      </c>
      <c r="K28" s="95" t="s">
        <v>104</v>
      </c>
      <c r="L28" s="95" t="s">
        <v>104</v>
      </c>
      <c r="M28" s="80">
        <f>SUM(M17:M27)</f>
        <v>0</v>
      </c>
      <c r="N28" s="80" t="s">
        <v>105</v>
      </c>
      <c r="O28" s="96">
        <f>SUM(O17:O27)</f>
        <v>0</v>
      </c>
      <c r="Q28" s="97" t="str">
        <f>A28</f>
        <v>Celkem</v>
      </c>
      <c r="R28" s="95" t="s">
        <v>104</v>
      </c>
      <c r="S28" s="95" t="s">
        <v>104</v>
      </c>
      <c r="T28" s="95" t="s">
        <v>104</v>
      </c>
      <c r="U28" s="80">
        <f>SUM(U17:U27)</f>
        <v>0</v>
      </c>
      <c r="V28" s="80" t="s">
        <v>105</v>
      </c>
      <c r="W28" s="96">
        <f>SUM(W17:W27)</f>
        <v>0</v>
      </c>
      <c r="Y28" s="97" t="str">
        <f>I28</f>
        <v>Celkem</v>
      </c>
      <c r="Z28" s="95" t="s">
        <v>104</v>
      </c>
      <c r="AA28" s="95" t="s">
        <v>104</v>
      </c>
      <c r="AB28" s="95" t="s">
        <v>104</v>
      </c>
      <c r="AC28" s="80">
        <f>SUM(AC17:AC27)</f>
        <v>0</v>
      </c>
      <c r="AD28" s="80" t="s">
        <v>105</v>
      </c>
      <c r="AE28" s="96">
        <f>SUM(AE17:AE27)</f>
        <v>0</v>
      </c>
    </row>
    <row r="29" ht="12.75" customHeight="1"/>
    <row r="30" ht="12.75" customHeight="1">
      <c r="A30" s="101" t="str">
        <f>A3</f>
        <v>Doprava</v>
      </c>
      <c r="B30" s="102">
        <f>IF(B1,G14,E14)</f>
        <v>0</v>
      </c>
      <c r="C30" s="103"/>
      <c r="I30" s="64" t="s">
        <v>90</v>
      </c>
      <c r="J30" s="65" t="s">
        <v>81</v>
      </c>
      <c r="K30" s="65" t="s">
        <v>82</v>
      </c>
      <c r="L30" s="65" t="s">
        <v>83</v>
      </c>
      <c r="M30" s="65" t="s">
        <v>84</v>
      </c>
      <c r="N30" s="63" t="b">
        <f>B1</f>
        <v>0</v>
      </c>
      <c r="O30" s="74" t="s">
        <v>84</v>
      </c>
      <c r="Q30" s="64" t="s">
        <v>107</v>
      </c>
      <c r="R30" s="65" t="s">
        <v>81</v>
      </c>
      <c r="S30" s="65" t="s">
        <v>82</v>
      </c>
      <c r="T30" s="65" t="s">
        <v>83</v>
      </c>
      <c r="U30" s="65" t="s">
        <v>84</v>
      </c>
      <c r="V30" s="9" t="b">
        <f>B1</f>
        <v>0</v>
      </c>
      <c r="W30" s="74" t="s">
        <v>84</v>
      </c>
    </row>
    <row r="31" ht="12.75" customHeight="1">
      <c r="A31" s="101" t="str">
        <f>I3</f>
        <v>Mechanizace</v>
      </c>
      <c r="B31" s="102">
        <f>IF(B1,O14,M14)</f>
        <v>0</v>
      </c>
      <c r="C31" s="103"/>
      <c r="I31" s="67"/>
      <c r="J31" s="65"/>
      <c r="K31" s="65"/>
      <c r="L31" s="82"/>
      <c r="M31" s="80">
        <f t="shared" ref="M31:M37" si="22">K31*L31</f>
        <v>0</v>
      </c>
      <c r="N31" s="9" t="b">
        <f t="shared" ref="N31:N38" si="23">N30</f>
        <v>0</v>
      </c>
      <c r="O31" s="81">
        <f t="shared" ref="O31:O37" si="24">IF(N31,M31*1.21,M31)</f>
        <v>0</v>
      </c>
      <c r="Q31" s="67" t="s">
        <v>108</v>
      </c>
      <c r="R31" s="65" t="s">
        <v>109</v>
      </c>
      <c r="S31" s="79"/>
      <c r="T31" s="82">
        <v>100.0</v>
      </c>
      <c r="U31" s="80">
        <f t="shared" ref="U31:U37" si="25">S31*T31</f>
        <v>0</v>
      </c>
      <c r="V31" s="9" t="b">
        <f t="shared" ref="V31:V38" si="26">V30</f>
        <v>0</v>
      </c>
      <c r="W31" s="81">
        <f t="shared" ref="W31:W37" si="27">IF(V31,U31*1.21,U31)</f>
        <v>0</v>
      </c>
    </row>
    <row r="32" ht="12.75" customHeight="1">
      <c r="A32" s="101" t="str">
        <f>Q3</f>
        <v>xxx</v>
      </c>
      <c r="B32" s="102">
        <f>IF(B1,W14,U14)</f>
        <v>0</v>
      </c>
      <c r="C32" s="103"/>
      <c r="I32" s="67"/>
      <c r="J32" s="65"/>
      <c r="K32" s="65"/>
      <c r="L32" s="82"/>
      <c r="M32" s="80">
        <f t="shared" si="22"/>
        <v>0</v>
      </c>
      <c r="N32" s="9" t="b">
        <f t="shared" si="23"/>
        <v>0</v>
      </c>
      <c r="O32" s="81">
        <f t="shared" si="24"/>
        <v>0</v>
      </c>
      <c r="Q32" s="67"/>
      <c r="R32" s="65"/>
      <c r="S32" s="65"/>
      <c r="T32" s="82"/>
      <c r="U32" s="80">
        <f t="shared" si="25"/>
        <v>0</v>
      </c>
      <c r="V32" s="9" t="b">
        <f t="shared" si="26"/>
        <v>0</v>
      </c>
      <c r="W32" s="81">
        <f t="shared" si="27"/>
        <v>0</v>
      </c>
      <c r="Y32" s="67" t="s">
        <v>43</v>
      </c>
      <c r="Z32" s="65" t="s">
        <v>92</v>
      </c>
      <c r="AA32" s="65" t="str">
        <f>S14</f>
        <v>x</v>
      </c>
      <c r="AB32" s="82" t="str">
        <f>IF(T14,12,0)</f>
        <v>#VALUE!</v>
      </c>
    </row>
    <row r="33" ht="12.75" customHeight="1">
      <c r="A33" s="101" t="str">
        <f>A16</f>
        <v>xxx</v>
      </c>
      <c r="B33" s="102">
        <f>IF(B1,G28,E28)</f>
        <v>0</v>
      </c>
      <c r="C33" s="103"/>
      <c r="I33" s="67"/>
      <c r="J33" s="65"/>
      <c r="K33" s="65"/>
      <c r="L33" s="82"/>
      <c r="M33" s="80">
        <f t="shared" si="22"/>
        <v>0</v>
      </c>
      <c r="N33" s="9" t="b">
        <f t="shared" si="23"/>
        <v>0</v>
      </c>
      <c r="O33" s="81">
        <f t="shared" si="24"/>
        <v>0</v>
      </c>
      <c r="Q33" s="67"/>
      <c r="R33" s="65"/>
      <c r="S33" s="65"/>
      <c r="T33" s="82"/>
      <c r="U33" s="80">
        <f t="shared" si="25"/>
        <v>0</v>
      </c>
      <c r="V33" s="9" t="b">
        <f t="shared" si="26"/>
        <v>0</v>
      </c>
      <c r="W33" s="81">
        <f t="shared" si="27"/>
        <v>0</v>
      </c>
      <c r="Y33" s="67" t="s">
        <v>100</v>
      </c>
      <c r="Z33" s="65" t="s">
        <v>93</v>
      </c>
      <c r="AA33" s="65">
        <f>S15/2</f>
        <v>0</v>
      </c>
      <c r="AB33" s="82" t="str">
        <f>T15</f>
        <v/>
      </c>
    </row>
    <row r="34" ht="12.75" customHeight="1">
      <c r="A34" s="101" t="str">
        <f>I16</f>
        <v>xxx</v>
      </c>
      <c r="B34" s="102">
        <f>IF(T8,5,0)</f>
        <v>0</v>
      </c>
      <c r="C34" s="103"/>
      <c r="I34" s="67"/>
      <c r="J34" s="65"/>
      <c r="K34" s="65"/>
      <c r="L34" s="82"/>
      <c r="M34" s="80">
        <f t="shared" si="22"/>
        <v>0</v>
      </c>
      <c r="N34" s="9" t="b">
        <f t="shared" si="23"/>
        <v>0</v>
      </c>
      <c r="O34" s="81">
        <f t="shared" si="24"/>
        <v>0</v>
      </c>
      <c r="Q34" s="67"/>
      <c r="R34" s="65"/>
      <c r="S34" s="65"/>
      <c r="T34" s="82"/>
      <c r="U34" s="80">
        <f t="shared" si="25"/>
        <v>0</v>
      </c>
      <c r="V34" s="9" t="b">
        <f t="shared" si="26"/>
        <v>0</v>
      </c>
      <c r="W34" s="81">
        <f t="shared" si="27"/>
        <v>0</v>
      </c>
    </row>
    <row r="35" ht="12.75" customHeight="1">
      <c r="A35" s="101" t="str">
        <f>Q16</f>
        <v>xxx</v>
      </c>
      <c r="B35" s="102">
        <f>IF(B1,W28,U28)</f>
        <v>0</v>
      </c>
      <c r="C35" s="103"/>
      <c r="I35" s="67"/>
      <c r="J35" s="65"/>
      <c r="K35" s="65"/>
      <c r="L35" s="82"/>
      <c r="M35" s="80">
        <f t="shared" si="22"/>
        <v>0</v>
      </c>
      <c r="N35" s="9" t="b">
        <f t="shared" si="23"/>
        <v>0</v>
      </c>
      <c r="O35" s="81">
        <f t="shared" si="24"/>
        <v>0</v>
      </c>
      <c r="Q35" s="67"/>
      <c r="R35" s="65"/>
      <c r="S35" s="65"/>
      <c r="T35" s="82"/>
      <c r="U35" s="80">
        <f t="shared" si="25"/>
        <v>0</v>
      </c>
      <c r="V35" s="9" t="b">
        <f t="shared" si="26"/>
        <v>0</v>
      </c>
      <c r="W35" s="81">
        <f t="shared" si="27"/>
        <v>0</v>
      </c>
    </row>
    <row r="36" ht="12.75" customHeight="1">
      <c r="A36" s="101" t="str">
        <f>I30</f>
        <v>xxx</v>
      </c>
      <c r="B36" s="102">
        <f>IF(B1,O39,M39)</f>
        <v>0</v>
      </c>
      <c r="C36" s="103"/>
      <c r="I36" s="67"/>
      <c r="J36" s="65"/>
      <c r="K36" s="65"/>
      <c r="L36" s="82"/>
      <c r="M36" s="80">
        <f t="shared" si="22"/>
        <v>0</v>
      </c>
      <c r="N36" s="9" t="b">
        <f t="shared" si="23"/>
        <v>0</v>
      </c>
      <c r="O36" s="81">
        <f t="shared" si="24"/>
        <v>0</v>
      </c>
      <c r="Q36" s="67"/>
      <c r="R36" s="65"/>
      <c r="S36" s="65"/>
      <c r="T36" s="82"/>
      <c r="U36" s="80">
        <f t="shared" si="25"/>
        <v>0</v>
      </c>
      <c r="V36" s="9" t="b">
        <f t="shared" si="26"/>
        <v>0</v>
      </c>
      <c r="W36" s="81">
        <f t="shared" si="27"/>
        <v>0</v>
      </c>
    </row>
    <row r="37" ht="12.75" customHeight="1">
      <c r="A37" s="101" t="str">
        <f>Q30</f>
        <v>Ostatní</v>
      </c>
      <c r="B37" s="102">
        <f>IF(B1,W39,U39)</f>
        <v>0</v>
      </c>
      <c r="C37" s="103"/>
      <c r="I37" s="67"/>
      <c r="J37" s="65"/>
      <c r="K37" s="65"/>
      <c r="L37" s="82"/>
      <c r="M37" s="80">
        <f t="shared" si="22"/>
        <v>0</v>
      </c>
      <c r="N37" s="9" t="b">
        <f t="shared" si="23"/>
        <v>0</v>
      </c>
      <c r="O37" s="81">
        <f t="shared" si="24"/>
        <v>0</v>
      </c>
      <c r="Q37" s="67"/>
      <c r="R37" s="65"/>
      <c r="S37" s="65"/>
      <c r="T37" s="82"/>
      <c r="U37" s="80">
        <f t="shared" si="25"/>
        <v>0</v>
      </c>
      <c r="V37" s="9" t="b">
        <f t="shared" si="26"/>
        <v>0</v>
      </c>
      <c r="W37" s="81">
        <f t="shared" si="27"/>
        <v>0</v>
      </c>
    </row>
    <row r="38" ht="12.75" customHeight="1">
      <c r="A38" s="101" t="str">
        <f>Y16</f>
        <v>Sleva</v>
      </c>
      <c r="B38" s="102">
        <f>IF(B1,AE28,AC28)</f>
        <v>0</v>
      </c>
      <c r="C38" s="103"/>
      <c r="I38" s="67"/>
      <c r="J38" s="65"/>
      <c r="K38" s="65"/>
      <c r="L38" s="82"/>
      <c r="M38" s="80"/>
      <c r="N38" s="9" t="b">
        <f t="shared" si="23"/>
        <v>0</v>
      </c>
      <c r="O38" s="86"/>
      <c r="Q38" s="67"/>
      <c r="R38" s="65"/>
      <c r="S38" s="65"/>
      <c r="T38" s="82"/>
      <c r="U38" s="80"/>
      <c r="V38" s="9" t="b">
        <f t="shared" si="26"/>
        <v>0</v>
      </c>
      <c r="W38" s="86"/>
    </row>
    <row r="39" ht="12.75" customHeight="1">
      <c r="A39" s="97" t="str">
        <f>A14</f>
        <v>Celkem</v>
      </c>
      <c r="B39" s="113">
        <f>SUM(B30:B37)</f>
        <v>0</v>
      </c>
      <c r="C39" s="112"/>
      <c r="I39" s="97" t="str">
        <f>A28</f>
        <v>Celkem</v>
      </c>
      <c r="J39" s="95" t="s">
        <v>104</v>
      </c>
      <c r="K39" s="95" t="s">
        <v>104</v>
      </c>
      <c r="L39" s="95" t="s">
        <v>104</v>
      </c>
      <c r="M39" s="80">
        <f>SUM(M31:M37)</f>
        <v>0</v>
      </c>
      <c r="N39" s="80" t="s">
        <v>105</v>
      </c>
      <c r="O39" s="96">
        <f>SUM(O31:O37)</f>
        <v>0</v>
      </c>
      <c r="Q39" s="97" t="str">
        <f>I28</f>
        <v>Celkem</v>
      </c>
      <c r="R39" s="95" t="s">
        <v>104</v>
      </c>
      <c r="S39" s="95" t="s">
        <v>104</v>
      </c>
      <c r="T39" s="95" t="s">
        <v>104</v>
      </c>
      <c r="U39" s="80">
        <f>SUM(U31:U37)</f>
        <v>0</v>
      </c>
      <c r="V39" s="80" t="s">
        <v>105</v>
      </c>
      <c r="W39" s="96">
        <f>SUM(W31:W37)</f>
        <v>0</v>
      </c>
    </row>
    <row r="40" ht="12.75" customHeight="1"/>
    <row r="41" ht="12.75" customHeight="1"/>
    <row r="42" ht="12.75" customHeight="1"/>
    <row r="43" ht="12.75" customHeight="1"/>
    <row r="44" ht="12.75" customHeight="1"/>
    <row r="45" ht="12.75" customHeight="1"/>
    <row r="46" ht="12.75" customHeight="1"/>
    <row r="47" ht="12.75" customHeight="1"/>
    <row r="48" ht="12.75" customHeight="1"/>
    <row r="49" ht="12.75" customHeight="1"/>
    <row r="50" ht="12.75" customHeight="1"/>
    <row r="51" ht="12.75" customHeight="1"/>
    <row r="52" ht="12.75" customHeight="1"/>
    <row r="53" ht="12.75" customHeight="1"/>
    <row r="54" ht="12.75" customHeight="1"/>
    <row r="55" ht="12.75" customHeight="1"/>
    <row r="56" ht="12.75" customHeight="1"/>
    <row r="57" ht="12.75" customHeight="1"/>
    <row r="58" ht="12.75" customHeight="1"/>
    <row r="59" ht="12.75" customHeight="1"/>
    <row r="60" ht="12.75" customHeight="1"/>
    <row r="61" ht="12.75" customHeight="1"/>
    <row r="62" ht="12.75" customHeight="1"/>
    <row r="63" ht="12.75" customHeight="1"/>
    <row r="64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dataValidations>
    <dataValidation type="list" allowBlank="1" showErrorMessage="1" sqref="I4:I13">
      <formula1>'Ceník mechanizace'!$B$8:$B$31</formula1>
    </dataValidation>
  </dataValidations>
  <printOptions/>
  <pageMargins bottom="0.984251969" footer="0.0" header="0.0" left="0.787401575" right="0.787401575" top="0.984251969"/>
  <pageSetup paperSize="9" orientation="portrait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B050"/>
    <pageSetUpPr/>
  </sheetPr>
  <sheetViews>
    <sheetView workbookViewId="0"/>
  </sheetViews>
  <sheetFormatPr customHeight="1" defaultColWidth="14.43" defaultRowHeight="15.0"/>
  <cols>
    <col customWidth="1" min="1" max="1" width="37.57"/>
    <col customWidth="1" min="2" max="2" width="7.29"/>
    <col customWidth="1" min="3" max="3" width="12.0"/>
    <col customWidth="1" min="4" max="4" width="6.29"/>
    <col customWidth="1" min="5" max="5" width="9.86"/>
    <col customWidth="1" min="6" max="6" width="2.71"/>
    <col customWidth="1" min="7" max="7" width="11.29"/>
    <col customWidth="1" min="8" max="8" width="0.86"/>
    <col customWidth="1" min="9" max="9" width="20.71"/>
    <col customWidth="1" min="10" max="10" width="5.43"/>
    <col customWidth="1" min="11" max="11" width="8.43"/>
    <col customWidth="1" min="12" max="12" width="6.29"/>
    <col customWidth="1" min="13" max="13" width="9.86"/>
    <col customWidth="1" min="14" max="14" width="2.71"/>
    <col customWidth="1" min="15" max="15" width="11.29"/>
    <col customWidth="1" min="16" max="16" width="0.86"/>
    <col customWidth="1" min="17" max="17" width="17.43"/>
    <col customWidth="1" min="18" max="18" width="3.57"/>
    <col customWidth="1" min="19" max="19" width="8.43"/>
    <col customWidth="1" min="20" max="20" width="6.29"/>
    <col customWidth="1" min="21" max="21" width="8.71"/>
    <col customWidth="1" min="22" max="22" width="2.71"/>
    <col customWidth="1" min="23" max="23" width="11.29"/>
    <col customWidth="1" min="24" max="24" width="3.29"/>
    <col customWidth="1" min="25" max="25" width="22.71"/>
    <col customWidth="1" min="26" max="29" width="8.71"/>
    <col customWidth="1" min="30" max="30" width="2.71"/>
    <col customWidth="1" min="31" max="31" width="11.29"/>
  </cols>
  <sheetData>
    <row r="1" ht="12.75" customHeight="1">
      <c r="A1" s="3" t="s">
        <v>94</v>
      </c>
      <c r="B1" s="9" t="b">
        <f>'zadání'!D18</f>
        <v>0</v>
      </c>
      <c r="C1" s="62"/>
      <c r="D1" s="62"/>
      <c r="E1" s="62"/>
      <c r="F1" s="62"/>
      <c r="G1" s="62"/>
      <c r="H1" s="62"/>
      <c r="I1" s="62"/>
      <c r="J1" s="62"/>
      <c r="K1" s="62"/>
      <c r="L1" s="62"/>
      <c r="M1" s="62"/>
      <c r="N1" s="62"/>
      <c r="O1" s="62"/>
      <c r="P1" s="62"/>
      <c r="Q1" s="62"/>
      <c r="R1" s="62"/>
      <c r="S1" s="62"/>
      <c r="T1" s="62"/>
      <c r="U1" s="62"/>
      <c r="V1" s="62"/>
      <c r="W1" s="62"/>
    </row>
    <row r="2" ht="12.0" customHeight="1"/>
    <row r="3" ht="12.75" customHeight="1">
      <c r="A3" s="64" t="s">
        <v>96</v>
      </c>
      <c r="B3" s="65" t="s">
        <v>81</v>
      </c>
      <c r="C3" s="65" t="s">
        <v>82</v>
      </c>
      <c r="D3" s="65" t="s">
        <v>83</v>
      </c>
      <c r="E3" s="65" t="s">
        <v>84</v>
      </c>
      <c r="F3" s="9" t="b">
        <f>B1</f>
        <v>0</v>
      </c>
      <c r="G3" s="86" t="s">
        <v>97</v>
      </c>
      <c r="I3" s="64" t="s">
        <v>56</v>
      </c>
      <c r="J3" s="65" t="s">
        <v>81</v>
      </c>
      <c r="K3" s="65" t="s">
        <v>82</v>
      </c>
      <c r="L3" s="65" t="s">
        <v>83</v>
      </c>
      <c r="M3" s="65" t="s">
        <v>84</v>
      </c>
      <c r="N3" s="9" t="b">
        <f>B1</f>
        <v>0</v>
      </c>
      <c r="O3" s="86" t="s">
        <v>97</v>
      </c>
      <c r="Q3" s="64" t="s">
        <v>9</v>
      </c>
      <c r="R3" s="65" t="s">
        <v>81</v>
      </c>
      <c r="S3" s="65" t="s">
        <v>82</v>
      </c>
      <c r="T3" s="65" t="s">
        <v>83</v>
      </c>
      <c r="U3" s="65" t="s">
        <v>84</v>
      </c>
      <c r="V3" s="9" t="b">
        <f>B1</f>
        <v>0</v>
      </c>
      <c r="W3" s="86" t="s">
        <v>97</v>
      </c>
      <c r="Y3" s="88" t="s">
        <v>99</v>
      </c>
      <c r="Z3" s="89" t="s">
        <v>81</v>
      </c>
      <c r="AA3" s="89" t="s">
        <v>82</v>
      </c>
      <c r="AB3" s="89" t="s">
        <v>83</v>
      </c>
      <c r="AC3" s="89" t="s">
        <v>84</v>
      </c>
      <c r="AD3" s="9" t="b">
        <f>B1</f>
        <v>0</v>
      </c>
      <c r="AE3" s="86" t="s">
        <v>97</v>
      </c>
    </row>
    <row r="4" ht="12.75" customHeight="1">
      <c r="A4" s="9" t="s">
        <v>101</v>
      </c>
      <c r="B4" s="65" t="s">
        <v>18</v>
      </c>
      <c r="C4" s="65">
        <v>1.0</v>
      </c>
      <c r="D4" s="90">
        <f>'Výpočet dřeva'!O56</f>
        <v>0</v>
      </c>
      <c r="E4" s="70">
        <f t="shared" ref="E4:E9" si="1">C4*D4</f>
        <v>0</v>
      </c>
      <c r="F4" s="9" t="b">
        <f t="shared" ref="F4:F9" si="2">F3</f>
        <v>0</v>
      </c>
      <c r="G4" s="81">
        <f t="shared" ref="G4:G9" si="3">IF(F4,E4*1.21,E4)</f>
        <v>0</v>
      </c>
      <c r="I4" s="67" t="s">
        <v>64</v>
      </c>
      <c r="J4" s="65" t="s">
        <v>98</v>
      </c>
      <c r="K4" s="79">
        <v>1.0</v>
      </c>
      <c r="L4" s="91">
        <f>IF('materiál'!K4 &gt; 0, VLOOKUP(I4,'Ceník - ostatní materiál'!$B$3:$D$40,3,0),0)</f>
        <v>50</v>
      </c>
      <c r="M4" s="70">
        <f t="shared" ref="M4:M9" si="4">K4*L4</f>
        <v>50</v>
      </c>
      <c r="N4" s="9" t="b">
        <f t="shared" ref="N4:N9" si="5">N3</f>
        <v>0</v>
      </c>
      <c r="O4" s="81">
        <f t="shared" ref="O4:O9" si="6">IF(N4,M4*1.21,M4)</f>
        <v>50</v>
      </c>
      <c r="Q4" s="67" t="s">
        <v>73</v>
      </c>
      <c r="R4" s="65" t="s">
        <v>102</v>
      </c>
      <c r="S4" s="65">
        <f>SUMIF('Výpočet dřeva'!$F$2:$F$50,1,'Výpočet dřeva'!$H$2:$H$50) * 2 * 1.1</f>
        <v>0</v>
      </c>
      <c r="T4" s="65">
        <f>IF('materiál'!S4 &gt; 0,VLOOKUP(Q4,'Ceník - ostatní materiál'!$B$42:$D$53,3,0),0)</f>
        <v>0</v>
      </c>
      <c r="U4" s="70">
        <f t="shared" ref="U4:U9" si="7">S4*T4</f>
        <v>0</v>
      </c>
      <c r="V4" s="9" t="b">
        <f t="shared" ref="V4:V9" si="8">V3</f>
        <v>0</v>
      </c>
      <c r="W4" s="81">
        <f t="shared" ref="W4:W9" si="9">IF(V4,U4*1.21,U4)</f>
        <v>0</v>
      </c>
      <c r="Y4" s="98"/>
      <c r="Z4" s="89"/>
      <c r="AA4" s="89"/>
      <c r="AB4" s="89"/>
      <c r="AC4" s="99">
        <f t="shared" ref="AC4:AC9" si="10">AA4*AB4</f>
        <v>0</v>
      </c>
      <c r="AD4" s="9" t="b">
        <f t="shared" ref="AD4:AD9" si="11">AD3</f>
        <v>0</v>
      </c>
      <c r="AE4" s="81">
        <f t="shared" ref="AE4:AE9" si="12">IF(AD4,AC4*1.21,AC4)</f>
        <v>0</v>
      </c>
    </row>
    <row r="5" ht="12.75" customHeight="1">
      <c r="A5" s="67"/>
      <c r="B5" s="65"/>
      <c r="C5" s="65"/>
      <c r="D5" s="65"/>
      <c r="E5" s="70">
        <f t="shared" si="1"/>
        <v>0</v>
      </c>
      <c r="F5" s="9" t="b">
        <f t="shared" si="2"/>
        <v>0</v>
      </c>
      <c r="G5" s="81">
        <f t="shared" si="3"/>
        <v>0</v>
      </c>
      <c r="I5" s="67"/>
      <c r="J5" s="65"/>
      <c r="K5" s="79"/>
      <c r="L5" s="65">
        <f>IF('materiál'!K5 &gt; 0, VLOOKUP(I5,'Ceník - ostatní materiál'!$B$3:$D$40,3,0),0)</f>
        <v>0</v>
      </c>
      <c r="M5" s="70">
        <f t="shared" si="4"/>
        <v>0</v>
      </c>
      <c r="N5" s="9" t="b">
        <f t="shared" si="5"/>
        <v>0</v>
      </c>
      <c r="O5" s="81">
        <f t="shared" si="6"/>
        <v>0</v>
      </c>
      <c r="Q5" s="67"/>
      <c r="R5" s="65" t="s">
        <v>102</v>
      </c>
      <c r="S5" s="65"/>
      <c r="T5" s="65">
        <f>IF('materiál'!S5 &gt; 0,VLOOKUP(Q5,'Ceník - ostatní materiál'!$B$42:$D$53,3,0),0)</f>
        <v>0</v>
      </c>
      <c r="U5" s="70">
        <f t="shared" si="7"/>
        <v>0</v>
      </c>
      <c r="V5" s="9" t="b">
        <f t="shared" si="8"/>
        <v>0</v>
      </c>
      <c r="W5" s="81">
        <f t="shared" si="9"/>
        <v>0</v>
      </c>
      <c r="Y5" s="98"/>
      <c r="Z5" s="89"/>
      <c r="AA5" s="89"/>
      <c r="AB5" s="89"/>
      <c r="AC5" s="99">
        <f t="shared" si="10"/>
        <v>0</v>
      </c>
      <c r="AD5" s="9" t="b">
        <f t="shared" si="11"/>
        <v>0</v>
      </c>
      <c r="AE5" s="81">
        <f t="shared" si="12"/>
        <v>0</v>
      </c>
    </row>
    <row r="6" ht="12.75" customHeight="1">
      <c r="A6" s="67"/>
      <c r="B6" s="65"/>
      <c r="C6" s="65"/>
      <c r="D6" s="65"/>
      <c r="E6" s="70">
        <f t="shared" si="1"/>
        <v>0</v>
      </c>
      <c r="F6" s="9" t="b">
        <f t="shared" si="2"/>
        <v>0</v>
      </c>
      <c r="G6" s="81">
        <f t="shared" si="3"/>
        <v>0</v>
      </c>
      <c r="I6" s="67"/>
      <c r="J6" s="65"/>
      <c r="K6" s="79"/>
      <c r="L6" s="65">
        <f>IF('materiál'!K6 &gt; 0, VLOOKUP(I6,'Ceník - ostatní materiál'!$B$3:$D$40,3,0),0)</f>
        <v>0</v>
      </c>
      <c r="M6" s="70">
        <f t="shared" si="4"/>
        <v>0</v>
      </c>
      <c r="N6" s="9" t="b">
        <f t="shared" si="5"/>
        <v>0</v>
      </c>
      <c r="O6" s="81">
        <f t="shared" si="6"/>
        <v>0</v>
      </c>
      <c r="Q6" s="67"/>
      <c r="R6" s="65" t="s">
        <v>102</v>
      </c>
      <c r="S6" s="65"/>
      <c r="T6" s="65">
        <f>IF('materiál'!S6 &gt; 0,VLOOKUP(Q6,'Ceník - ostatní materiál'!$B$42:$D$53,3,0),0)</f>
        <v>0</v>
      </c>
      <c r="U6" s="70">
        <f t="shared" si="7"/>
        <v>0</v>
      </c>
      <c r="V6" s="9" t="b">
        <f t="shared" si="8"/>
        <v>0</v>
      </c>
      <c r="W6" s="81">
        <f t="shared" si="9"/>
        <v>0</v>
      </c>
      <c r="Y6" s="98"/>
      <c r="Z6" s="89"/>
      <c r="AA6" s="89"/>
      <c r="AB6" s="89"/>
      <c r="AC6" s="99">
        <f t="shared" si="10"/>
        <v>0</v>
      </c>
      <c r="AD6" s="9" t="b">
        <f t="shared" si="11"/>
        <v>0</v>
      </c>
      <c r="AE6" s="81">
        <f t="shared" si="12"/>
        <v>0</v>
      </c>
    </row>
    <row r="7" ht="12.75" customHeight="1">
      <c r="A7" s="67"/>
      <c r="B7" s="65"/>
      <c r="C7" s="65"/>
      <c r="D7" s="65"/>
      <c r="E7" s="70">
        <f t="shared" si="1"/>
        <v>0</v>
      </c>
      <c r="F7" s="9" t="b">
        <f t="shared" si="2"/>
        <v>0</v>
      </c>
      <c r="G7" s="81">
        <f t="shared" si="3"/>
        <v>0</v>
      </c>
      <c r="I7" s="67"/>
      <c r="J7" s="65"/>
      <c r="K7" s="79"/>
      <c r="L7" s="65">
        <f>IF('materiál'!K7 &gt; 0, VLOOKUP(I7,'Ceník - ostatní materiál'!$B$3:$D$40,3,0),0)</f>
        <v>0</v>
      </c>
      <c r="M7" s="70">
        <f t="shared" si="4"/>
        <v>0</v>
      </c>
      <c r="N7" s="9" t="b">
        <f t="shared" si="5"/>
        <v>0</v>
      </c>
      <c r="O7" s="81">
        <f t="shared" si="6"/>
        <v>0</v>
      </c>
      <c r="Q7" s="67"/>
      <c r="R7" s="65" t="s">
        <v>102</v>
      </c>
      <c r="S7" s="65"/>
      <c r="T7" s="65">
        <f>IF('materiál'!S7 &gt; 0,VLOOKUP(Q7,'Ceník - ostatní materiál'!$B$42:$D$53,3,0),0)</f>
        <v>0</v>
      </c>
      <c r="U7" s="70">
        <f t="shared" si="7"/>
        <v>0</v>
      </c>
      <c r="V7" s="9" t="b">
        <f t="shared" si="8"/>
        <v>0</v>
      </c>
      <c r="W7" s="81">
        <f t="shared" si="9"/>
        <v>0</v>
      </c>
      <c r="Y7" s="98"/>
      <c r="Z7" s="89"/>
      <c r="AA7" s="89"/>
      <c r="AB7" s="89"/>
      <c r="AC7" s="99">
        <f t="shared" si="10"/>
        <v>0</v>
      </c>
      <c r="AD7" s="9" t="b">
        <f t="shared" si="11"/>
        <v>0</v>
      </c>
      <c r="AE7" s="81">
        <f t="shared" si="12"/>
        <v>0</v>
      </c>
    </row>
    <row r="8" ht="12.75" customHeight="1">
      <c r="A8" s="67"/>
      <c r="B8" s="65"/>
      <c r="C8" s="65"/>
      <c r="D8" s="65"/>
      <c r="E8" s="70">
        <f t="shared" si="1"/>
        <v>0</v>
      </c>
      <c r="F8" s="9" t="b">
        <f t="shared" si="2"/>
        <v>0</v>
      </c>
      <c r="G8" s="81">
        <f t="shared" si="3"/>
        <v>0</v>
      </c>
      <c r="I8" s="67"/>
      <c r="J8" s="65"/>
      <c r="K8" s="79"/>
      <c r="L8" s="65">
        <f>IF('materiál'!K8 &gt; 0, VLOOKUP(I8,'Ceník - ostatní materiál'!$B$3:$D$40,3,0),0)</f>
        <v>0</v>
      </c>
      <c r="M8" s="70">
        <f t="shared" si="4"/>
        <v>0</v>
      </c>
      <c r="N8" s="9" t="b">
        <f t="shared" si="5"/>
        <v>0</v>
      </c>
      <c r="O8" s="81">
        <f t="shared" si="6"/>
        <v>0</v>
      </c>
      <c r="Q8" s="67"/>
      <c r="R8" s="65" t="s">
        <v>102</v>
      </c>
      <c r="S8" s="65"/>
      <c r="T8" s="65">
        <f>IF('materiál'!S8 &gt; 0,VLOOKUP(Q8,'Ceník - ostatní materiál'!$B$42:$D$53,3,0),0)</f>
        <v>0</v>
      </c>
      <c r="U8" s="70">
        <f t="shared" si="7"/>
        <v>0</v>
      </c>
      <c r="V8" s="9" t="b">
        <f t="shared" si="8"/>
        <v>0</v>
      </c>
      <c r="W8" s="81">
        <f t="shared" si="9"/>
        <v>0</v>
      </c>
      <c r="Y8" s="98"/>
      <c r="Z8" s="89"/>
      <c r="AA8" s="89"/>
      <c r="AB8" s="89"/>
      <c r="AC8" s="99">
        <f t="shared" si="10"/>
        <v>0</v>
      </c>
      <c r="AD8" s="9" t="b">
        <f t="shared" si="11"/>
        <v>0</v>
      </c>
      <c r="AE8" s="81">
        <f t="shared" si="12"/>
        <v>0</v>
      </c>
    </row>
    <row r="9" ht="12.75" customHeight="1">
      <c r="A9" s="67"/>
      <c r="B9" s="65"/>
      <c r="C9" s="65"/>
      <c r="D9" s="65"/>
      <c r="E9" s="70">
        <f t="shared" si="1"/>
        <v>0</v>
      </c>
      <c r="F9" s="9" t="b">
        <f t="shared" si="2"/>
        <v>0</v>
      </c>
      <c r="G9" s="81">
        <f t="shared" si="3"/>
        <v>0</v>
      </c>
      <c r="I9" s="67"/>
      <c r="J9" s="65"/>
      <c r="K9" s="79"/>
      <c r="L9" s="65">
        <f>IF('materiál'!K9 &gt; 0, VLOOKUP(I9,'Ceník - ostatní materiál'!$B$3:$D$40,3,0),0)</f>
        <v>0</v>
      </c>
      <c r="M9" s="70">
        <f t="shared" si="4"/>
        <v>0</v>
      </c>
      <c r="N9" s="9" t="b">
        <f t="shared" si="5"/>
        <v>0</v>
      </c>
      <c r="O9" s="81">
        <f t="shared" si="6"/>
        <v>0</v>
      </c>
      <c r="Q9" s="67"/>
      <c r="R9" s="65" t="s">
        <v>102</v>
      </c>
      <c r="S9" s="65"/>
      <c r="T9" s="65">
        <f>IF('materiál'!S9 &gt; 0,VLOOKUP(Q9,'Ceník - ostatní materiál'!$B$42:$D$53,3,0),0)</f>
        <v>0</v>
      </c>
      <c r="U9" s="70">
        <f t="shared" si="7"/>
        <v>0</v>
      </c>
      <c r="V9" s="9" t="b">
        <f t="shared" si="8"/>
        <v>0</v>
      </c>
      <c r="W9" s="81">
        <f t="shared" si="9"/>
        <v>0</v>
      </c>
      <c r="Y9" s="98"/>
      <c r="Z9" s="89"/>
      <c r="AA9" s="89"/>
      <c r="AB9" s="89"/>
      <c r="AC9" s="99">
        <f t="shared" si="10"/>
        <v>0</v>
      </c>
      <c r="AD9" s="9" t="b">
        <f t="shared" si="11"/>
        <v>0</v>
      </c>
      <c r="AE9" s="81">
        <f t="shared" si="12"/>
        <v>0</v>
      </c>
    </row>
    <row r="10" ht="12.75" customHeight="1">
      <c r="A10" s="94" t="s">
        <v>103</v>
      </c>
      <c r="B10" s="95" t="s">
        <v>104</v>
      </c>
      <c r="C10" s="70">
        <f>SUM(C4:C9)</f>
        <v>1</v>
      </c>
      <c r="D10" s="95" t="s">
        <v>104</v>
      </c>
      <c r="E10" s="70">
        <f>SUM(E4:E9)</f>
        <v>0</v>
      </c>
      <c r="F10" s="80" t="s">
        <v>105</v>
      </c>
      <c r="G10" s="96">
        <f>SUM(G3:G9)</f>
        <v>0</v>
      </c>
      <c r="I10" s="97" t="str">
        <f>A10</f>
        <v>Celkem</v>
      </c>
      <c r="J10" s="95" t="s">
        <v>104</v>
      </c>
      <c r="K10" s="95" t="s">
        <v>104</v>
      </c>
      <c r="L10" s="95" t="s">
        <v>104</v>
      </c>
      <c r="M10" s="70">
        <f>SUM(M4:M9)</f>
        <v>50</v>
      </c>
      <c r="N10" s="80" t="s">
        <v>105</v>
      </c>
      <c r="O10" s="96">
        <f>SUM(O3:O9)</f>
        <v>50</v>
      </c>
      <c r="Q10" s="97" t="str">
        <f>A10</f>
        <v>Celkem</v>
      </c>
      <c r="R10" s="95" t="s">
        <v>104</v>
      </c>
      <c r="S10" s="95" t="s">
        <v>104</v>
      </c>
      <c r="T10" s="95" t="s">
        <v>104</v>
      </c>
      <c r="U10" s="70">
        <f>SUM(U4:U9)</f>
        <v>0</v>
      </c>
      <c r="V10" s="80" t="s">
        <v>105</v>
      </c>
      <c r="W10" s="96">
        <f>SUM(W3:W9)</f>
        <v>0</v>
      </c>
      <c r="Y10" s="106" t="str">
        <f>I10</f>
        <v>Celkem</v>
      </c>
      <c r="Z10" s="107" t="s">
        <v>104</v>
      </c>
      <c r="AA10" s="107" t="s">
        <v>104</v>
      </c>
      <c r="AB10" s="107" t="s">
        <v>104</v>
      </c>
      <c r="AC10" s="99">
        <f>SUM(AC4:AC9)</f>
        <v>0</v>
      </c>
      <c r="AD10" s="80" t="s">
        <v>105</v>
      </c>
      <c r="AE10" s="96">
        <f>SUM(AE3:AE9)</f>
        <v>0</v>
      </c>
    </row>
    <row r="11" ht="5.25" customHeight="1">
      <c r="E11" s="63"/>
      <c r="F11" s="63"/>
      <c r="G11" s="63"/>
    </row>
    <row r="12" ht="12.75" customHeight="1">
      <c r="A12" s="108" t="str">
        <f>A3</f>
        <v>Dřevo</v>
      </c>
      <c r="B12" s="109">
        <f>IF(B1,G10,E10)</f>
        <v>0</v>
      </c>
      <c r="E12" s="63"/>
      <c r="F12" s="63"/>
      <c r="G12" s="63"/>
    </row>
    <row r="13" ht="12.75" customHeight="1">
      <c r="A13" s="108" t="str">
        <f>I3</f>
        <v>Spojovací materiál</v>
      </c>
      <c r="B13" s="109">
        <f>IF(B1,O10,M10)</f>
        <v>50</v>
      </c>
      <c r="E13" s="63"/>
      <c r="F13" s="63"/>
      <c r="G13" s="63"/>
    </row>
    <row r="14" ht="12.75" customHeight="1">
      <c r="A14" s="108" t="str">
        <f>Q3</f>
        <v>Povrchovka</v>
      </c>
      <c r="B14" s="109">
        <f>IF(B1,W10,U10)</f>
        <v>0</v>
      </c>
      <c r="E14" s="63"/>
      <c r="F14" s="63"/>
      <c r="G14" s="63"/>
    </row>
    <row r="15" ht="12.75" customHeight="1">
      <c r="A15" s="108" t="str">
        <f>Y3</f>
        <v>Materiál 12% DPH</v>
      </c>
      <c r="B15" s="109">
        <f>IF(B1,AE10,AC10)</f>
        <v>0</v>
      </c>
      <c r="E15" s="63"/>
      <c r="F15" s="63"/>
      <c r="G15" s="63"/>
    </row>
    <row r="16" ht="12.75" customHeight="1">
      <c r="A16" s="110" t="s">
        <v>115</v>
      </c>
      <c r="B16" s="111">
        <f>SUM(B12:B14)</f>
        <v>50</v>
      </c>
      <c r="C16" s="112"/>
      <c r="E16" s="63"/>
      <c r="F16" s="63"/>
      <c r="G16" s="63"/>
    </row>
    <row r="17" ht="4.5" customHeight="1"/>
    <row r="18" ht="12.75" customHeight="1">
      <c r="A18" s="64" t="s">
        <v>75</v>
      </c>
      <c r="B18" s="65" t="s">
        <v>81</v>
      </c>
      <c r="C18" s="65" t="s">
        <v>82</v>
      </c>
      <c r="D18" s="65" t="s">
        <v>83</v>
      </c>
      <c r="E18" s="65" t="s">
        <v>84</v>
      </c>
      <c r="F18" s="9" t="b">
        <f>B1</f>
        <v>0</v>
      </c>
      <c r="G18" s="86" t="s">
        <v>97</v>
      </c>
      <c r="I18" s="64" t="s">
        <v>90</v>
      </c>
      <c r="J18" s="65" t="s">
        <v>81</v>
      </c>
      <c r="K18" s="65" t="s">
        <v>82</v>
      </c>
      <c r="L18" s="65" t="s">
        <v>83</v>
      </c>
      <c r="M18" s="65" t="s">
        <v>84</v>
      </c>
      <c r="N18" s="9" t="b">
        <f>B1</f>
        <v>0</v>
      </c>
      <c r="O18" s="86" t="s">
        <v>97</v>
      </c>
      <c r="Q18" s="64" t="s">
        <v>90</v>
      </c>
      <c r="R18" s="65" t="s">
        <v>81</v>
      </c>
      <c r="S18" s="65" t="s">
        <v>82</v>
      </c>
      <c r="T18" s="65" t="s">
        <v>83</v>
      </c>
      <c r="U18" s="65" t="s">
        <v>84</v>
      </c>
      <c r="V18" s="9" t="b">
        <f>B1</f>
        <v>0</v>
      </c>
      <c r="W18" s="86" t="s">
        <v>97</v>
      </c>
    </row>
    <row r="19" ht="12.75" customHeight="1">
      <c r="A19" s="67" t="s">
        <v>76</v>
      </c>
      <c r="B19" s="65" t="s">
        <v>116</v>
      </c>
      <c r="C19" s="79"/>
      <c r="D19" s="65">
        <f>IF('materiál'!C19 &gt; 0,VLOOKUP(A19,'Ceník - ostatní materiál'!$B$55:$D$66,3,0),0)</f>
        <v>0</v>
      </c>
      <c r="E19" s="70">
        <f t="shared" ref="E19:E25" si="13">C19*D19</f>
        <v>0</v>
      </c>
      <c r="F19" s="9" t="b">
        <f t="shared" ref="F19:F25" si="14">F18</f>
        <v>0</v>
      </c>
      <c r="G19" s="81">
        <f t="shared" ref="G19:G25" si="15">IF(F19,E19*1.21,E19)</f>
        <v>0</v>
      </c>
      <c r="I19" s="67"/>
      <c r="J19" s="65"/>
      <c r="K19" s="65"/>
      <c r="L19" s="65"/>
      <c r="M19" s="70">
        <f t="shared" ref="M19:M25" si="16">K19*L19</f>
        <v>0</v>
      </c>
      <c r="N19" s="9" t="b">
        <f t="shared" ref="N19:N25" si="17">N18</f>
        <v>0</v>
      </c>
      <c r="O19" s="81">
        <f t="shared" ref="O19:O25" si="18">IF(N19,M19*1.21,M19)</f>
        <v>0</v>
      </c>
      <c r="Q19" s="67"/>
      <c r="R19" s="65"/>
      <c r="S19" s="65"/>
      <c r="T19" s="65"/>
      <c r="U19" s="70">
        <f t="shared" ref="U19:U25" si="19">S19*T19</f>
        <v>0</v>
      </c>
      <c r="V19" s="9" t="b">
        <f t="shared" ref="V19:V25" si="20">V18</f>
        <v>0</v>
      </c>
      <c r="W19" s="81">
        <f t="shared" ref="W19:W25" si="21">IF(V19,U19*1.21,U19)</f>
        <v>0</v>
      </c>
    </row>
    <row r="20" ht="12.75" customHeight="1">
      <c r="A20" s="67" t="s">
        <v>77</v>
      </c>
      <c r="B20" s="65" t="s">
        <v>116</v>
      </c>
      <c r="C20" s="79"/>
      <c r="D20" s="65">
        <f>IF('materiál'!C20 &gt; 0,VLOOKUP(A20,'Ceník - ostatní materiál'!$B$55:$D$66,3,0),0)</f>
        <v>0</v>
      </c>
      <c r="E20" s="70">
        <f t="shared" si="13"/>
        <v>0</v>
      </c>
      <c r="F20" s="9" t="b">
        <f t="shared" si="14"/>
        <v>0</v>
      </c>
      <c r="G20" s="81">
        <f t="shared" si="15"/>
        <v>0</v>
      </c>
      <c r="I20" s="67"/>
      <c r="J20" s="65"/>
      <c r="K20" s="65"/>
      <c r="L20" s="65"/>
      <c r="M20" s="70">
        <f t="shared" si="16"/>
        <v>0</v>
      </c>
      <c r="N20" s="9" t="b">
        <f t="shared" si="17"/>
        <v>0</v>
      </c>
      <c r="O20" s="81">
        <f t="shared" si="18"/>
        <v>0</v>
      </c>
      <c r="Q20" s="67"/>
      <c r="R20" s="65"/>
      <c r="S20" s="65"/>
      <c r="T20" s="65"/>
      <c r="U20" s="70">
        <f t="shared" si="19"/>
        <v>0</v>
      </c>
      <c r="V20" s="9" t="b">
        <f t="shared" si="20"/>
        <v>0</v>
      </c>
      <c r="W20" s="81">
        <f t="shared" si="21"/>
        <v>0</v>
      </c>
    </row>
    <row r="21" ht="12.75" customHeight="1">
      <c r="A21" s="67" t="s">
        <v>78</v>
      </c>
      <c r="B21" s="65" t="s">
        <v>116</v>
      </c>
      <c r="C21" s="79"/>
      <c r="D21" s="65">
        <f>IF('materiál'!C21 &gt; 0,VLOOKUP(A21,'Ceník - ostatní materiál'!$B$55:$D$66,3,0),0)</f>
        <v>0</v>
      </c>
      <c r="E21" s="70">
        <f t="shared" si="13"/>
        <v>0</v>
      </c>
      <c r="F21" s="9" t="b">
        <f t="shared" si="14"/>
        <v>0</v>
      </c>
      <c r="G21" s="81">
        <f t="shared" si="15"/>
        <v>0</v>
      </c>
      <c r="I21" s="67"/>
      <c r="J21" s="65"/>
      <c r="K21" s="65"/>
      <c r="L21" s="65"/>
      <c r="M21" s="70">
        <f t="shared" si="16"/>
        <v>0</v>
      </c>
      <c r="N21" s="9" t="b">
        <f t="shared" si="17"/>
        <v>0</v>
      </c>
      <c r="O21" s="81">
        <f t="shared" si="18"/>
        <v>0</v>
      </c>
      <c r="Q21" s="67"/>
      <c r="R21" s="65"/>
      <c r="S21" s="65"/>
      <c r="T21" s="65"/>
      <c r="U21" s="70">
        <f t="shared" si="19"/>
        <v>0</v>
      </c>
      <c r="V21" s="9" t="b">
        <f t="shared" si="20"/>
        <v>0</v>
      </c>
      <c r="W21" s="81">
        <f t="shared" si="21"/>
        <v>0</v>
      </c>
    </row>
    <row r="22" ht="12.75" customHeight="1">
      <c r="A22" s="67" t="s">
        <v>79</v>
      </c>
      <c r="B22" s="65" t="s">
        <v>116</v>
      </c>
      <c r="C22" s="79"/>
      <c r="D22" s="65">
        <f>IF('materiál'!C22 &gt; 0,VLOOKUP(A22,'Ceník - ostatní materiál'!$B$55:$D$66,3,0),0)</f>
        <v>0</v>
      </c>
      <c r="E22" s="70">
        <f t="shared" si="13"/>
        <v>0</v>
      </c>
      <c r="F22" s="9" t="b">
        <f t="shared" si="14"/>
        <v>0</v>
      </c>
      <c r="G22" s="81">
        <f t="shared" si="15"/>
        <v>0</v>
      </c>
      <c r="I22" s="67"/>
      <c r="J22" s="65"/>
      <c r="K22" s="65"/>
      <c r="L22" s="65"/>
      <c r="M22" s="70">
        <f t="shared" si="16"/>
        <v>0</v>
      </c>
      <c r="N22" s="9" t="b">
        <f t="shared" si="17"/>
        <v>0</v>
      </c>
      <c r="O22" s="81">
        <f t="shared" si="18"/>
        <v>0</v>
      </c>
      <c r="Q22" s="67"/>
      <c r="R22" s="65"/>
      <c r="S22" s="65"/>
      <c r="T22" s="65"/>
      <c r="U22" s="70">
        <f t="shared" si="19"/>
        <v>0</v>
      </c>
      <c r="V22" s="9" t="b">
        <f t="shared" si="20"/>
        <v>0</v>
      </c>
      <c r="W22" s="81">
        <f t="shared" si="21"/>
        <v>0</v>
      </c>
    </row>
    <row r="23" ht="12.75" customHeight="1">
      <c r="A23" s="67"/>
      <c r="B23" s="65" t="s">
        <v>116</v>
      </c>
      <c r="C23" s="79"/>
      <c r="D23" s="65">
        <f>IF('materiál'!C23 &gt; 0,VLOOKUP(A23,'Ceník - ostatní materiál'!$B$55:$D$66,3,0),0)</f>
        <v>0</v>
      </c>
      <c r="E23" s="70">
        <f t="shared" si="13"/>
        <v>0</v>
      </c>
      <c r="F23" s="9" t="b">
        <f t="shared" si="14"/>
        <v>0</v>
      </c>
      <c r="G23" s="81">
        <f t="shared" si="15"/>
        <v>0</v>
      </c>
      <c r="I23" s="67"/>
      <c r="J23" s="65"/>
      <c r="K23" s="65"/>
      <c r="L23" s="65"/>
      <c r="M23" s="70">
        <f t="shared" si="16"/>
        <v>0</v>
      </c>
      <c r="N23" s="9" t="b">
        <f t="shared" si="17"/>
        <v>0</v>
      </c>
      <c r="O23" s="81">
        <f t="shared" si="18"/>
        <v>0</v>
      </c>
      <c r="Q23" s="67"/>
      <c r="R23" s="65"/>
      <c r="S23" s="65"/>
      <c r="T23" s="65"/>
      <c r="U23" s="70">
        <f t="shared" si="19"/>
        <v>0</v>
      </c>
      <c r="V23" s="9" t="b">
        <f t="shared" si="20"/>
        <v>0</v>
      </c>
      <c r="W23" s="81">
        <f t="shared" si="21"/>
        <v>0</v>
      </c>
    </row>
    <row r="24" ht="12.75" customHeight="1">
      <c r="A24" s="67"/>
      <c r="B24" s="65" t="s">
        <v>116</v>
      </c>
      <c r="C24" s="79"/>
      <c r="D24" s="65">
        <f>IF('materiál'!C24 &gt; 0,VLOOKUP(A24,'Ceník - ostatní materiál'!$B$55:$D$66,3,0),0)</f>
        <v>0</v>
      </c>
      <c r="E24" s="70">
        <f t="shared" si="13"/>
        <v>0</v>
      </c>
      <c r="F24" s="9" t="b">
        <f t="shared" si="14"/>
        <v>0</v>
      </c>
      <c r="G24" s="81">
        <f t="shared" si="15"/>
        <v>0</v>
      </c>
      <c r="I24" s="67"/>
      <c r="J24" s="65"/>
      <c r="K24" s="65"/>
      <c r="L24" s="65"/>
      <c r="M24" s="70">
        <f t="shared" si="16"/>
        <v>0</v>
      </c>
      <c r="N24" s="9" t="b">
        <f t="shared" si="17"/>
        <v>0</v>
      </c>
      <c r="O24" s="81">
        <f t="shared" si="18"/>
        <v>0</v>
      </c>
      <c r="Q24" s="67"/>
      <c r="R24" s="65"/>
      <c r="S24" s="65"/>
      <c r="T24" s="65"/>
      <c r="U24" s="70">
        <f t="shared" si="19"/>
        <v>0</v>
      </c>
      <c r="V24" s="9" t="b">
        <f t="shared" si="20"/>
        <v>0</v>
      </c>
      <c r="W24" s="81">
        <f t="shared" si="21"/>
        <v>0</v>
      </c>
    </row>
    <row r="25" ht="12.75" customHeight="1">
      <c r="A25" s="67"/>
      <c r="B25" s="65" t="s">
        <v>116</v>
      </c>
      <c r="C25" s="79"/>
      <c r="D25" s="65">
        <f>IF('materiál'!C25 &gt; 0,VLOOKUP(A25,'Ceník - ostatní materiál'!$B$55:$D$66,3,0),0)</f>
        <v>0</v>
      </c>
      <c r="E25" s="70">
        <f t="shared" si="13"/>
        <v>0</v>
      </c>
      <c r="F25" s="9" t="b">
        <f t="shared" si="14"/>
        <v>0</v>
      </c>
      <c r="G25" s="81">
        <f t="shared" si="15"/>
        <v>0</v>
      </c>
      <c r="I25" s="67"/>
      <c r="J25" s="65"/>
      <c r="K25" s="65"/>
      <c r="L25" s="65"/>
      <c r="M25" s="70">
        <f t="shared" si="16"/>
        <v>0</v>
      </c>
      <c r="N25" s="9" t="b">
        <f t="shared" si="17"/>
        <v>0</v>
      </c>
      <c r="O25" s="81">
        <f t="shared" si="18"/>
        <v>0</v>
      </c>
      <c r="Q25" s="67"/>
      <c r="R25" s="65"/>
      <c r="S25" s="65"/>
      <c r="T25" s="65"/>
      <c r="U25" s="70">
        <f t="shared" si="19"/>
        <v>0</v>
      </c>
      <c r="V25" s="9" t="b">
        <f t="shared" si="20"/>
        <v>0</v>
      </c>
      <c r="W25" s="81">
        <f t="shared" si="21"/>
        <v>0</v>
      </c>
    </row>
    <row r="26" ht="12.75" customHeight="1">
      <c r="A26" s="94" t="s">
        <v>103</v>
      </c>
      <c r="B26" s="95" t="s">
        <v>104</v>
      </c>
      <c r="C26" s="95" t="s">
        <v>104</v>
      </c>
      <c r="D26" s="95" t="s">
        <v>104</v>
      </c>
      <c r="E26" s="70">
        <f>SUM(E19:E25)</f>
        <v>0</v>
      </c>
      <c r="F26" s="80" t="s">
        <v>105</v>
      </c>
      <c r="G26" s="96">
        <f>SUM(G19:G25)</f>
        <v>0</v>
      </c>
      <c r="I26" s="97" t="str">
        <f>A26</f>
        <v>Celkem</v>
      </c>
      <c r="J26" s="95" t="s">
        <v>104</v>
      </c>
      <c r="K26" s="95" t="s">
        <v>104</v>
      </c>
      <c r="L26" s="95" t="s">
        <v>104</v>
      </c>
      <c r="M26" s="70">
        <f>SUM(M19:M25)</f>
        <v>0</v>
      </c>
      <c r="N26" s="80" t="s">
        <v>105</v>
      </c>
      <c r="O26" s="96">
        <f>SUM(O19:O25)</f>
        <v>0</v>
      </c>
      <c r="Q26" s="97" t="str">
        <f>A26</f>
        <v>Celkem</v>
      </c>
      <c r="R26" s="95" t="s">
        <v>104</v>
      </c>
      <c r="S26" s="95" t="s">
        <v>104</v>
      </c>
      <c r="T26" s="95" t="s">
        <v>104</v>
      </c>
      <c r="U26" s="70">
        <f>SUM(U19:U25)</f>
        <v>0</v>
      </c>
      <c r="V26" s="80" t="s">
        <v>105</v>
      </c>
      <c r="W26" s="96">
        <f>SUM(W19:W25)</f>
        <v>0</v>
      </c>
    </row>
    <row r="27" ht="12.75" customHeight="1">
      <c r="E27" s="63"/>
      <c r="F27" s="63"/>
      <c r="G27" s="63"/>
    </row>
    <row r="28" ht="12.75" customHeight="1">
      <c r="A28" s="108" t="str">
        <f>A18</f>
        <v>Brusný materiál</v>
      </c>
      <c r="B28" s="109">
        <f>IF(B1,G26,E26)</f>
        <v>0</v>
      </c>
      <c r="E28" s="63"/>
      <c r="F28" s="63"/>
      <c r="G28" s="63"/>
    </row>
    <row r="29" ht="12.75" customHeight="1">
      <c r="A29" s="108" t="str">
        <f>I18</f>
        <v>xxx</v>
      </c>
      <c r="B29" s="109">
        <f>IF(B1,O26,M26)</f>
        <v>0</v>
      </c>
      <c r="E29" s="63"/>
      <c r="F29" s="63"/>
      <c r="G29" s="63"/>
    </row>
    <row r="30" ht="12.75" customHeight="1">
      <c r="A30" s="108" t="str">
        <f>Q18</f>
        <v>xxx</v>
      </c>
      <c r="B30" s="109">
        <f>IF(B1,W26,U26)</f>
        <v>0</v>
      </c>
      <c r="E30" s="63"/>
      <c r="F30" s="63"/>
      <c r="G30" s="63"/>
    </row>
    <row r="31" ht="12.75" customHeight="1">
      <c r="A31" s="110" t="s">
        <v>122</v>
      </c>
      <c r="B31" s="111">
        <f>SUM(B28:B30)</f>
        <v>0</v>
      </c>
      <c r="C31" s="112"/>
      <c r="E31" s="63"/>
      <c r="F31" s="63"/>
      <c r="G31" s="63"/>
    </row>
    <row r="32" ht="30.0" customHeight="1"/>
    <row r="33" ht="12.75" customHeight="1">
      <c r="A33" s="108" t="str">
        <f t="shared" ref="A33:B33" si="22">A16</f>
        <v>Rostliny</v>
      </c>
      <c r="B33" s="109">
        <f t="shared" si="22"/>
        <v>50</v>
      </c>
      <c r="C33" s="115"/>
    </row>
    <row r="34" ht="12.75" customHeight="1">
      <c r="A34" s="108" t="str">
        <f t="shared" ref="A34:B34" si="23">A31</f>
        <v>Technický</v>
      </c>
      <c r="B34" s="109">
        <f t="shared" si="23"/>
        <v>0</v>
      </c>
      <c r="C34" s="115"/>
    </row>
    <row r="35" ht="12.75" customHeight="1">
      <c r="A35" s="108" t="str">
        <f>A26</f>
        <v>Celkem</v>
      </c>
      <c r="B35" s="109">
        <f>B34+B33</f>
        <v>50</v>
      </c>
      <c r="C35" s="115"/>
    </row>
    <row r="36" ht="12.75" customHeight="1"/>
    <row r="37" ht="12.75" customHeight="1"/>
    <row r="38" ht="12.75" customHeight="1"/>
    <row r="39" ht="12.75" customHeight="1"/>
    <row r="40" ht="12.75" customHeight="1"/>
    <row r="41" ht="12.75" customHeight="1"/>
    <row r="42" ht="12.75" customHeight="1"/>
    <row r="43" ht="12.75" customHeight="1"/>
    <row r="44" ht="12.75" customHeight="1"/>
    <row r="45" ht="12.75" customHeight="1"/>
    <row r="46" ht="12.75" customHeight="1"/>
    <row r="47" ht="12.75" customHeight="1"/>
    <row r="48" ht="12.75" customHeight="1"/>
    <row r="49" ht="12.75" customHeight="1"/>
    <row r="50" ht="12.75" customHeight="1"/>
    <row r="51" ht="12.75" customHeight="1"/>
    <row r="52" ht="12.75" customHeight="1"/>
    <row r="53" ht="12.75" customHeight="1"/>
    <row r="54" ht="12.75" customHeight="1"/>
    <row r="55" ht="12.75" customHeight="1"/>
    <row r="56" ht="12.75" customHeight="1"/>
    <row r="57" ht="12.75" customHeight="1"/>
    <row r="58" ht="12.75" customHeight="1"/>
    <row r="59" ht="12.75" customHeight="1"/>
    <row r="60" ht="12.75" customHeight="1"/>
    <row r="61" ht="12.75" customHeight="1"/>
    <row r="62" ht="12.75" customHeight="1"/>
    <row r="63" ht="12.75" customHeight="1"/>
    <row r="64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dataValidations>
    <dataValidation type="list" allowBlank="1" showErrorMessage="1" sqref="I4:I9">
      <formula1>'Ceník - ostatní materiál'!$B$3:$B$40</formula1>
    </dataValidation>
    <dataValidation type="list" allowBlank="1" showErrorMessage="1" sqref="A19:A25">
      <formula1>'Ceník - ostatní materiál'!$B$55:$B$66</formula1>
    </dataValidation>
    <dataValidation type="list" allowBlank="1" showErrorMessage="1" sqref="Q4">
      <formula1>'Ceník - ostatní materiál'!$B$42:$B$53</formula1>
    </dataValidation>
  </dataValidations>
  <printOptions/>
  <pageMargins bottom="0.984251969" footer="0.0" header="0.0" left="0.787401575" right="0.787401575" top="0.984251969"/>
  <pageSetup paperSize="9" orientation="portrait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B050"/>
    <pageSetUpPr/>
  </sheetPr>
  <sheetViews>
    <sheetView workbookViewId="0"/>
  </sheetViews>
  <sheetFormatPr customHeight="1" defaultColWidth="14.43" defaultRowHeight="15.0"/>
  <cols>
    <col customWidth="1" min="1" max="1" width="16.86"/>
    <col customWidth="1" min="2" max="26" width="8.71"/>
  </cols>
  <sheetData>
    <row r="1" ht="12.75" customHeight="1">
      <c r="A1" s="3" t="s">
        <v>117</v>
      </c>
      <c r="B1" s="62"/>
      <c r="C1" s="62"/>
      <c r="D1" s="62"/>
      <c r="E1" s="62"/>
      <c r="F1" s="62"/>
      <c r="G1" s="62"/>
      <c r="H1" s="62"/>
      <c r="I1" s="62"/>
      <c r="J1" s="62"/>
      <c r="K1" s="62"/>
      <c r="L1" s="62"/>
      <c r="M1" s="62"/>
      <c r="N1" s="62"/>
      <c r="O1" s="62"/>
      <c r="P1" s="62"/>
      <c r="Q1" s="62"/>
    </row>
    <row r="2" ht="12.75" customHeight="1"/>
    <row r="3" ht="12.75" customHeight="1">
      <c r="A3" s="64" t="s">
        <v>118</v>
      </c>
      <c r="B3" s="65" t="s">
        <v>81</v>
      </c>
      <c r="C3" s="65" t="s">
        <v>82</v>
      </c>
      <c r="D3" s="65" t="s">
        <v>83</v>
      </c>
      <c r="E3" s="65" t="s">
        <v>84</v>
      </c>
      <c r="F3" s="76"/>
      <c r="G3" s="77"/>
      <c r="H3" s="77"/>
      <c r="I3" s="77"/>
      <c r="J3" s="77"/>
      <c r="K3" s="77"/>
      <c r="L3" s="77"/>
      <c r="M3" s="77"/>
      <c r="N3" s="77"/>
      <c r="O3" s="77"/>
      <c r="P3" s="77"/>
      <c r="Q3" s="77"/>
      <c r="R3" s="78"/>
    </row>
    <row r="4" ht="12.75" customHeight="1">
      <c r="A4" s="68" t="s">
        <v>119</v>
      </c>
      <c r="B4" s="65" t="s">
        <v>86</v>
      </c>
      <c r="C4" s="65">
        <f>SUM(F4:R4)</f>
        <v>0</v>
      </c>
      <c r="D4" s="65">
        <v>600.0</v>
      </c>
      <c r="E4" s="80">
        <f t="shared" ref="E4:E10" si="1">C4*D4</f>
        <v>0</v>
      </c>
      <c r="F4" s="83"/>
      <c r="R4" s="84"/>
    </row>
    <row r="5" ht="12.75" customHeight="1">
      <c r="A5" s="68" t="s">
        <v>120</v>
      </c>
      <c r="B5" s="65" t="s">
        <v>86</v>
      </c>
      <c r="C5" s="114">
        <v>0.5</v>
      </c>
      <c r="D5" s="65">
        <v>600.0</v>
      </c>
      <c r="E5" s="80">
        <f t="shared" si="1"/>
        <v>300</v>
      </c>
      <c r="F5" s="83"/>
      <c r="R5" s="84"/>
    </row>
    <row r="6" ht="12.75" customHeight="1">
      <c r="A6" s="67" t="s">
        <v>121</v>
      </c>
      <c r="B6" s="65" t="s">
        <v>86</v>
      </c>
      <c r="C6" s="65">
        <f>SUM(F6:R6)</f>
        <v>0</v>
      </c>
      <c r="D6" s="65">
        <v>600.0</v>
      </c>
      <c r="E6" s="80">
        <f t="shared" si="1"/>
        <v>0</v>
      </c>
      <c r="F6" s="83"/>
      <c r="R6" s="84"/>
    </row>
    <row r="7" ht="12.75" customHeight="1">
      <c r="A7" s="67"/>
      <c r="B7" s="65"/>
      <c r="C7" s="65"/>
      <c r="D7" s="65"/>
      <c r="E7" s="80">
        <f t="shared" si="1"/>
        <v>0</v>
      </c>
      <c r="F7" s="83"/>
      <c r="R7" s="84"/>
    </row>
    <row r="8" ht="12.75" customHeight="1">
      <c r="A8" s="67"/>
      <c r="B8" s="65"/>
      <c r="C8" s="65"/>
      <c r="D8" s="65"/>
      <c r="E8" s="80">
        <f t="shared" si="1"/>
        <v>0</v>
      </c>
      <c r="F8" s="83"/>
      <c r="R8" s="84"/>
    </row>
    <row r="9" ht="12.75" customHeight="1">
      <c r="A9" s="67"/>
      <c r="B9" s="65"/>
      <c r="C9" s="65"/>
      <c r="D9" s="65"/>
      <c r="E9" s="80">
        <f t="shared" si="1"/>
        <v>0</v>
      </c>
      <c r="F9" s="83"/>
      <c r="R9" s="84"/>
    </row>
    <row r="10" ht="12.75" customHeight="1">
      <c r="A10" s="67"/>
      <c r="B10" s="65"/>
      <c r="C10" s="65"/>
      <c r="D10" s="65"/>
      <c r="E10" s="80">
        <f t="shared" si="1"/>
        <v>0</v>
      </c>
      <c r="F10" s="83"/>
      <c r="R10" s="84"/>
    </row>
    <row r="11" ht="12.75" customHeight="1">
      <c r="A11" s="94" t="s">
        <v>103</v>
      </c>
      <c r="B11" s="95" t="s">
        <v>104</v>
      </c>
      <c r="C11" s="80">
        <f>SUM(C4:C10)</f>
        <v>0.5</v>
      </c>
      <c r="D11" s="95" t="s">
        <v>104</v>
      </c>
      <c r="E11" s="80">
        <f>SUM(E4:E10)</f>
        <v>300</v>
      </c>
      <c r="F11" s="92"/>
      <c r="G11" s="48"/>
      <c r="H11" s="48"/>
      <c r="I11" s="48"/>
      <c r="J11" s="48"/>
      <c r="K11" s="48"/>
      <c r="L11" s="48"/>
      <c r="M11" s="48"/>
      <c r="N11" s="48"/>
      <c r="O11" s="48"/>
      <c r="P11" s="48"/>
      <c r="Q11" s="48"/>
      <c r="R11" s="93"/>
    </row>
    <row r="12" ht="12.75" customHeight="1">
      <c r="E12" s="63"/>
    </row>
    <row r="13" ht="12.75" customHeight="1">
      <c r="A13" s="101" t="str">
        <f>A3</f>
        <v>Režijní náklady</v>
      </c>
      <c r="B13" s="102">
        <f>E11</f>
        <v>300</v>
      </c>
      <c r="E13" s="63"/>
    </row>
    <row r="14" ht="12.75" customHeight="1">
      <c r="A14" s="101" t="str">
        <f>G3</f>
        <v/>
      </c>
      <c r="B14" s="102" t="str">
        <f>K11</f>
        <v/>
      </c>
      <c r="E14" s="63"/>
    </row>
    <row r="15" ht="12.75" customHeight="1">
      <c r="A15" s="101" t="str">
        <f>M3</f>
        <v/>
      </c>
      <c r="B15" s="102" t="str">
        <f>Q11</f>
        <v/>
      </c>
      <c r="E15" s="63"/>
    </row>
    <row r="16" ht="12.75" customHeight="1">
      <c r="A16" s="97" t="str">
        <f>A11</f>
        <v>Celkem</v>
      </c>
      <c r="B16" s="113">
        <f>SUM(B13:B15)</f>
        <v>300</v>
      </c>
      <c r="E16" s="63"/>
    </row>
    <row r="17" ht="12.75" customHeight="1"/>
    <row r="18" ht="12.75" customHeight="1"/>
    <row r="19" ht="12.75" customHeight="1"/>
    <row r="20" ht="12.75" customHeight="1"/>
    <row r="21" ht="12.75" customHeight="1"/>
    <row r="22" ht="12.75" customHeight="1"/>
    <row r="23" ht="12.75" customHeight="1"/>
    <row r="24" ht="12.75" customHeight="1"/>
    <row r="25" ht="12.75" customHeight="1"/>
    <row r="26" ht="12.75" customHeight="1"/>
    <row r="27" ht="12.75" customHeight="1"/>
    <row r="28" ht="12.75" customHeight="1"/>
    <row r="29" ht="12.75" customHeight="1"/>
    <row r="30" ht="12.75" customHeight="1"/>
    <row r="31" ht="12.75" customHeight="1"/>
    <row r="32" ht="12.75" customHeight="1"/>
    <row r="33" ht="12.75" customHeight="1"/>
    <row r="34" ht="12.75" customHeight="1"/>
    <row r="35" ht="12.75" customHeight="1"/>
    <row r="36" ht="12.75" customHeight="1"/>
    <row r="37" ht="12.75" customHeight="1"/>
    <row r="38" ht="12.75" customHeight="1"/>
    <row r="39" ht="12.75" customHeight="1"/>
    <row r="40" ht="12.75" customHeight="1"/>
    <row r="41" ht="12.75" customHeight="1"/>
    <row r="42" ht="12.75" customHeight="1"/>
    <row r="43" ht="12.75" customHeight="1"/>
    <row r="44" ht="12.75" customHeight="1"/>
    <row r="45" ht="12.75" customHeight="1"/>
    <row r="46" ht="12.75" customHeight="1"/>
    <row r="47" ht="12.75" customHeight="1"/>
    <row r="48" ht="12.75" customHeight="1"/>
    <row r="49" ht="12.75" customHeight="1"/>
    <row r="50" ht="12.75" customHeight="1"/>
    <row r="51" ht="12.75" customHeight="1"/>
    <row r="52" ht="12.75" customHeight="1"/>
    <row r="53" ht="12.75" customHeight="1"/>
    <row r="54" ht="12.75" customHeight="1"/>
    <row r="55" ht="12.75" customHeight="1"/>
    <row r="56" ht="12.75" customHeight="1"/>
    <row r="57" ht="12.75" customHeight="1"/>
    <row r="58" ht="12.75" customHeight="1"/>
    <row r="59" ht="12.75" customHeight="1"/>
    <row r="60" ht="12.75" customHeight="1"/>
    <row r="61" ht="12.75" customHeight="1"/>
    <row r="62" ht="12.75" customHeight="1"/>
    <row r="63" ht="12.75" customHeight="1"/>
    <row r="64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printOptions/>
  <pageMargins bottom="0.984251969" footer="0.0" header="0.0" left="0.787401575" right="0.787401575" top="0.984251969"/>
  <pageSetup orientation="landscape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B050"/>
    <pageSetUpPr/>
  </sheetPr>
  <sheetViews>
    <sheetView workbookViewId="0"/>
  </sheetViews>
  <sheetFormatPr customHeight="1" defaultColWidth="14.43" defaultRowHeight="15.0"/>
  <cols>
    <col customWidth="1" min="1" max="1" width="17.43"/>
    <col customWidth="1" min="2" max="2" width="8.86"/>
    <col customWidth="1" min="3" max="3" width="8.71"/>
    <col customWidth="1" min="4" max="4" width="16.43"/>
    <col customWidth="1" min="5" max="5" width="11.57"/>
    <col customWidth="1" min="6" max="6" width="1.43"/>
    <col customWidth="1" min="7" max="7" width="8.71"/>
    <col customWidth="1" min="8" max="8" width="4.0"/>
    <col customWidth="1" min="9" max="9" width="8.43"/>
    <col customWidth="1" min="10" max="10" width="6.29"/>
    <col customWidth="1" min="11" max="11" width="9.86"/>
    <col customWidth="1" min="12" max="12" width="1.71"/>
    <col customWidth="1" min="13" max="13" width="10.0"/>
    <col customWidth="1" min="14" max="14" width="5.0"/>
    <col customWidth="1" min="15" max="15" width="8.43"/>
    <col customWidth="1" min="16" max="16" width="8.14"/>
    <col customWidth="1" min="17" max="18" width="8.71"/>
    <col customWidth="1" min="19" max="19" width="16.43"/>
    <col customWidth="1" min="20" max="20" width="11.86"/>
    <col customWidth="1" min="21" max="26" width="8.71"/>
  </cols>
  <sheetData>
    <row r="1" ht="12.75" customHeight="1">
      <c r="A1" s="3" t="s">
        <v>123</v>
      </c>
      <c r="B1" s="62"/>
      <c r="C1" s="62"/>
      <c r="D1" s="62"/>
      <c r="E1" s="62"/>
      <c r="F1" s="62"/>
      <c r="G1" s="62"/>
      <c r="H1" s="62"/>
      <c r="I1" s="62"/>
      <c r="J1" s="62"/>
      <c r="K1" s="62"/>
      <c r="L1" s="62"/>
      <c r="M1" s="62"/>
      <c r="N1" s="62"/>
      <c r="O1" s="62"/>
      <c r="P1" s="62"/>
      <c r="Q1" s="62"/>
    </row>
    <row r="2" ht="12.75" customHeight="1"/>
    <row r="3" ht="12.75" customHeight="1">
      <c r="A3" s="64" t="str">
        <f>'materiál'!A1</f>
        <v>Materiál</v>
      </c>
      <c r="B3" s="65" t="s">
        <v>81</v>
      </c>
      <c r="C3" s="65" t="s">
        <v>82</v>
      </c>
      <c r="D3" s="65" t="s">
        <v>83</v>
      </c>
      <c r="E3" s="65" t="s">
        <v>84</v>
      </c>
      <c r="G3" s="64" t="str">
        <f>'práce'!A1</f>
        <v>Práce</v>
      </c>
      <c r="H3" s="65" t="s">
        <v>81</v>
      </c>
      <c r="I3" s="65" t="s">
        <v>82</v>
      </c>
      <c r="J3" s="65" t="s">
        <v>83</v>
      </c>
      <c r="K3" s="65" t="s">
        <v>84</v>
      </c>
      <c r="M3" s="64" t="str">
        <f>'služby'!A1</f>
        <v>Služby</v>
      </c>
      <c r="N3" s="65" t="s">
        <v>81</v>
      </c>
      <c r="O3" s="65" t="s">
        <v>82</v>
      </c>
      <c r="P3" s="65" t="s">
        <v>83</v>
      </c>
      <c r="Q3" s="65" t="s">
        <v>84</v>
      </c>
    </row>
    <row r="4" ht="12.75" customHeight="1">
      <c r="A4" s="67" t="str">
        <f>'materiál'!A3</f>
        <v>Dřevo</v>
      </c>
      <c r="B4" s="65" t="s">
        <v>124</v>
      </c>
      <c r="C4" s="65">
        <v>1.0</v>
      </c>
      <c r="D4" s="85">
        <f>'materiál'!B12</f>
        <v>0</v>
      </c>
      <c r="E4" s="70">
        <f t="shared" ref="E4:E10" si="1">C4*D4</f>
        <v>0</v>
      </c>
      <c r="G4" s="67" t="str">
        <f>'práce'!A67</f>
        <v>Martin</v>
      </c>
      <c r="H4" s="65" t="str">
        <f>'práce'!B4</f>
        <v>hod</v>
      </c>
      <c r="I4" s="82">
        <f>'práce'!C55</f>
        <v>0</v>
      </c>
      <c r="J4" s="82">
        <f>'práce'!D4</f>
        <v>500</v>
      </c>
      <c r="K4" s="80">
        <f>'práce'!E55</f>
        <v>0</v>
      </c>
      <c r="M4" s="67" t="str">
        <f>'služby'!A30</f>
        <v>Doprava</v>
      </c>
      <c r="N4" s="65" t="s">
        <v>116</v>
      </c>
      <c r="O4" s="65">
        <v>1.0</v>
      </c>
      <c r="P4" s="82">
        <f>'služby'!B30</f>
        <v>0</v>
      </c>
      <c r="Q4" s="80">
        <f t="shared" ref="Q4:Q14" si="2">O4*P4</f>
        <v>0</v>
      </c>
    </row>
    <row r="5" ht="12.75" customHeight="1">
      <c r="A5" s="67" t="str">
        <f>'materiál'!I3</f>
        <v>Spojovací materiál</v>
      </c>
      <c r="B5" s="65" t="s">
        <v>124</v>
      </c>
      <c r="C5" s="65">
        <v>1.0</v>
      </c>
      <c r="D5" s="85">
        <f>'materiál'!B13</f>
        <v>50</v>
      </c>
      <c r="E5" s="70">
        <f t="shared" si="1"/>
        <v>50</v>
      </c>
      <c r="G5" s="67" t="str">
        <f>'práce'!A68</f>
        <v>Vlaďka</v>
      </c>
      <c r="H5" s="65" t="str">
        <f>H4</f>
        <v>hod</v>
      </c>
      <c r="I5" s="82">
        <f>'práce'!I55</f>
        <v>0</v>
      </c>
      <c r="J5" s="82">
        <f>'práce'!J4</f>
        <v>400</v>
      </c>
      <c r="K5" s="80">
        <f>'práce'!K55</f>
        <v>0</v>
      </c>
      <c r="M5" s="67" t="str">
        <f>'služby'!A31</f>
        <v>Mechanizace</v>
      </c>
      <c r="N5" s="65" t="s">
        <v>116</v>
      </c>
      <c r="O5" s="65">
        <v>1.0</v>
      </c>
      <c r="P5" s="82">
        <f>'služby'!B31</f>
        <v>0</v>
      </c>
      <c r="Q5" s="80">
        <f t="shared" si="2"/>
        <v>0</v>
      </c>
    </row>
    <row r="6" ht="12.75" customHeight="1">
      <c r="A6" s="67" t="str">
        <f>'materiál'!Q3</f>
        <v>Povrchovka</v>
      </c>
      <c r="B6" s="65" t="s">
        <v>124</v>
      </c>
      <c r="C6" s="65">
        <v>1.0</v>
      </c>
      <c r="D6" s="85">
        <f>'materiál'!B14</f>
        <v>0</v>
      </c>
      <c r="E6" s="70">
        <f t="shared" si="1"/>
        <v>0</v>
      </c>
      <c r="G6" s="67" t="str">
        <f>'práce'!A69</f>
        <v/>
      </c>
      <c r="H6" s="65" t="str">
        <f t="shared" ref="H6:H9" si="3">H4</f>
        <v>hod</v>
      </c>
      <c r="I6" s="82">
        <f>'práce'!O55</f>
        <v>0</v>
      </c>
      <c r="J6" s="82">
        <f>'práce'!P4</f>
        <v>700</v>
      </c>
      <c r="K6" s="80">
        <f>'práce'!Q55</f>
        <v>0</v>
      </c>
      <c r="M6" s="67" t="str">
        <f>'služby'!A32</f>
        <v>xxx</v>
      </c>
      <c r="N6" s="65" t="s">
        <v>116</v>
      </c>
      <c r="O6" s="65">
        <v>1.0</v>
      </c>
      <c r="P6" s="82">
        <f>'služby'!B32</f>
        <v>0</v>
      </c>
      <c r="Q6" s="80">
        <f t="shared" si="2"/>
        <v>0</v>
      </c>
    </row>
    <row r="7" ht="12.75" customHeight="1">
      <c r="A7" s="67" t="str">
        <f>'materiál'!A28</f>
        <v>Brusný materiál</v>
      </c>
      <c r="B7" s="65" t="s">
        <v>124</v>
      </c>
      <c r="C7" s="65">
        <v>1.0</v>
      </c>
      <c r="D7" s="85">
        <f>'materiál'!B28</f>
        <v>0</v>
      </c>
      <c r="E7" s="70">
        <f t="shared" si="1"/>
        <v>0</v>
      </c>
      <c r="G7" s="67" t="str">
        <f>'práce'!A70</f>
        <v/>
      </c>
      <c r="H7" s="65" t="str">
        <f t="shared" si="3"/>
        <v>hod</v>
      </c>
      <c r="I7" s="82">
        <f>'práce'!U55</f>
        <v>0</v>
      </c>
      <c r="J7" s="65">
        <f>'práce'!V4</f>
        <v>650</v>
      </c>
      <c r="K7" s="80">
        <f>'práce'!W55</f>
        <v>0</v>
      </c>
      <c r="M7" s="67" t="str">
        <f>'služby'!A33</f>
        <v>xxx</v>
      </c>
      <c r="N7" s="65" t="s">
        <v>116</v>
      </c>
      <c r="O7" s="65">
        <v>1.0</v>
      </c>
      <c r="P7" s="82">
        <f>'služby'!B33</f>
        <v>0</v>
      </c>
      <c r="Q7" s="80">
        <f t="shared" si="2"/>
        <v>0</v>
      </c>
    </row>
    <row r="8" ht="12.75" customHeight="1">
      <c r="A8" s="67" t="str">
        <f>'materiál'!A29</f>
        <v>xxx</v>
      </c>
      <c r="B8" s="65" t="s">
        <v>124</v>
      </c>
      <c r="C8" s="65">
        <v>1.0</v>
      </c>
      <c r="D8" s="85">
        <f>'materiál'!B29</f>
        <v>0</v>
      </c>
      <c r="E8" s="70">
        <f t="shared" si="1"/>
        <v>0</v>
      </c>
      <c r="G8" s="67" t="str">
        <f>'práce'!A71</f>
        <v/>
      </c>
      <c r="H8" s="65" t="str">
        <f t="shared" si="3"/>
        <v>hod</v>
      </c>
      <c r="I8" s="82">
        <f>'práce'!AA55</f>
        <v>0</v>
      </c>
      <c r="J8" s="65">
        <f>'práce'!AB4</f>
        <v>650</v>
      </c>
      <c r="K8" s="80">
        <f>'práce'!AC55</f>
        <v>0</v>
      </c>
      <c r="M8" s="67" t="str">
        <f>'služby'!A34</f>
        <v>xxx</v>
      </c>
      <c r="N8" s="65" t="s">
        <v>116</v>
      </c>
      <c r="O8" s="65">
        <v>1.0</v>
      </c>
      <c r="P8" s="82">
        <f>'služby'!B34</f>
        <v>0</v>
      </c>
      <c r="Q8" s="80">
        <f t="shared" si="2"/>
        <v>0</v>
      </c>
    </row>
    <row r="9" ht="12.75" customHeight="1">
      <c r="A9" s="67" t="str">
        <f>'materiál'!A30</f>
        <v>xxx</v>
      </c>
      <c r="B9" s="65" t="s">
        <v>124</v>
      </c>
      <c r="C9" s="65">
        <v>1.0</v>
      </c>
      <c r="D9" s="85">
        <f>'materiál'!B30</f>
        <v>0</v>
      </c>
      <c r="E9" s="70">
        <f t="shared" si="1"/>
        <v>0</v>
      </c>
      <c r="G9" s="67" t="str">
        <f>'práce'!A72</f>
        <v/>
      </c>
      <c r="H9" s="65" t="str">
        <f t="shared" si="3"/>
        <v>hod</v>
      </c>
      <c r="I9" s="82">
        <f>'práce'!AG55</f>
        <v>0</v>
      </c>
      <c r="J9" s="65">
        <f>'práce'!AH4</f>
        <v>700</v>
      </c>
      <c r="K9" s="80">
        <f>'práce'!AI55</f>
        <v>0</v>
      </c>
      <c r="M9" s="67" t="str">
        <f>'služby'!A35</f>
        <v>xxx</v>
      </c>
      <c r="N9" s="65" t="s">
        <v>116</v>
      </c>
      <c r="O9" s="65">
        <v>1.0</v>
      </c>
      <c r="P9" s="82">
        <f>'služby'!B35</f>
        <v>0</v>
      </c>
      <c r="Q9" s="80">
        <f t="shared" si="2"/>
        <v>0</v>
      </c>
    </row>
    <row r="10" ht="12.75" customHeight="1">
      <c r="A10" s="67" t="str">
        <f>'materiál'!Y3</f>
        <v>Materiál 12% DPH</v>
      </c>
      <c r="B10" s="65" t="s">
        <v>124</v>
      </c>
      <c r="C10" s="65">
        <v>1.0</v>
      </c>
      <c r="D10" s="85">
        <f>'materiál'!B15</f>
        <v>0</v>
      </c>
      <c r="E10" s="70">
        <f t="shared" si="1"/>
        <v>0</v>
      </c>
      <c r="G10" s="67" t="str">
        <f>'práce'!A73</f>
        <v/>
      </c>
      <c r="H10" s="65" t="str">
        <f t="shared" ref="H10:H11" si="4">H9</f>
        <v>hod</v>
      </c>
      <c r="I10" s="82">
        <f>'práce'!AM55</f>
        <v>0</v>
      </c>
      <c r="J10" s="65">
        <f>'práce'!AN4</f>
        <v>600</v>
      </c>
      <c r="K10" s="80">
        <f>'práce'!AO55</f>
        <v>0</v>
      </c>
      <c r="M10" s="67" t="str">
        <f>'služby'!A36</f>
        <v>xxx</v>
      </c>
      <c r="N10" s="65" t="s">
        <v>116</v>
      </c>
      <c r="O10" s="65">
        <v>1.0</v>
      </c>
      <c r="P10" s="82">
        <f>'služby'!B36</f>
        <v>0</v>
      </c>
      <c r="Q10" s="80">
        <f t="shared" si="2"/>
        <v>0</v>
      </c>
    </row>
    <row r="11" ht="12.75" customHeight="1">
      <c r="A11" s="67"/>
      <c r="B11" s="65"/>
      <c r="C11" s="65"/>
      <c r="D11" s="69"/>
      <c r="E11" s="70"/>
      <c r="G11" s="67" t="str">
        <f>'práce'!A74</f>
        <v/>
      </c>
      <c r="H11" s="65" t="str">
        <f t="shared" si="4"/>
        <v>hod</v>
      </c>
      <c r="I11" s="82">
        <f>'práce'!AS55</f>
        <v>0</v>
      </c>
      <c r="J11" s="65">
        <f>'práce'!AT4</f>
        <v>600</v>
      </c>
      <c r="K11" s="80">
        <f>'práce'!AU55</f>
        <v>0</v>
      </c>
      <c r="M11" s="67" t="str">
        <f>'služby'!A37</f>
        <v>Ostatní</v>
      </c>
      <c r="N11" s="65" t="s">
        <v>116</v>
      </c>
      <c r="O11" s="65">
        <v>1.0</v>
      </c>
      <c r="P11" s="82">
        <f>'služby'!B37</f>
        <v>0</v>
      </c>
      <c r="Q11" s="80">
        <f t="shared" si="2"/>
        <v>0</v>
      </c>
    </row>
    <row r="12" ht="12.75" customHeight="1">
      <c r="A12" s="67"/>
      <c r="B12" s="65"/>
      <c r="C12" s="65"/>
      <c r="D12" s="69"/>
      <c r="E12" s="70"/>
      <c r="G12" s="67" t="str">
        <f>'práce'!A75</f>
        <v/>
      </c>
      <c r="H12" s="65" t="str">
        <f t="shared" ref="H12:H13" si="5">H8</f>
        <v>hod</v>
      </c>
      <c r="I12" s="82">
        <f>'práce'!AY55</f>
        <v>0</v>
      </c>
      <c r="J12" s="65">
        <f>'práce'!AZ4</f>
        <v>600</v>
      </c>
      <c r="K12" s="80">
        <f>'práce'!BA55</f>
        <v>0</v>
      </c>
      <c r="M12" s="67" t="str">
        <f>'služby'!A38</f>
        <v>Sleva</v>
      </c>
      <c r="N12" s="65" t="s">
        <v>116</v>
      </c>
      <c r="O12" s="65">
        <v>1.0</v>
      </c>
      <c r="P12" s="82">
        <f>'služby'!B38</f>
        <v>0</v>
      </c>
      <c r="Q12" s="80">
        <f t="shared" si="2"/>
        <v>0</v>
      </c>
    </row>
    <row r="13" ht="12.75" customHeight="1">
      <c r="A13" s="67"/>
      <c r="B13" s="65"/>
      <c r="C13" s="65"/>
      <c r="D13" s="69"/>
      <c r="E13" s="70"/>
      <c r="G13" s="67" t="str">
        <f>'práce'!A76</f>
        <v/>
      </c>
      <c r="H13" s="65" t="str">
        <f t="shared" si="5"/>
        <v>hod</v>
      </c>
      <c r="I13" s="82">
        <f>'práce'!BE55</f>
        <v>0</v>
      </c>
      <c r="J13" s="65">
        <f>'práce'!BF4</f>
        <v>600</v>
      </c>
      <c r="K13" s="80">
        <f>'práce'!BG55</f>
        <v>0</v>
      </c>
      <c r="M13" s="67"/>
      <c r="N13" s="65"/>
      <c r="O13" s="65"/>
      <c r="P13" s="82"/>
      <c r="Q13" s="80">
        <f t="shared" si="2"/>
        <v>0</v>
      </c>
    </row>
    <row r="14" ht="12.75" customHeight="1">
      <c r="A14" s="67"/>
      <c r="B14" s="65"/>
      <c r="C14" s="65"/>
      <c r="D14" s="69"/>
      <c r="E14" s="70"/>
      <c r="G14" s="67" t="str">
        <f>'práce'!BI3</f>
        <v/>
      </c>
      <c r="H14" s="65" t="str">
        <f t="shared" ref="H14:H17" si="6">H13</f>
        <v>hod</v>
      </c>
      <c r="I14" s="82">
        <f>'práce'!BK55</f>
        <v>0</v>
      </c>
      <c r="J14" s="65">
        <f>'práce'!BL4</f>
        <v>800</v>
      </c>
      <c r="K14" s="80">
        <f>'práce'!BM55</f>
        <v>0</v>
      </c>
      <c r="M14" s="67"/>
      <c r="N14" s="65"/>
      <c r="O14" s="65"/>
      <c r="P14" s="82"/>
      <c r="Q14" s="80">
        <f t="shared" si="2"/>
        <v>0</v>
      </c>
    </row>
    <row r="15" ht="12.75" customHeight="1">
      <c r="A15" s="67"/>
      <c r="B15" s="65"/>
      <c r="C15" s="65"/>
      <c r="D15" s="69"/>
      <c r="E15" s="70"/>
      <c r="G15" s="67" t="str">
        <f>'práce'!BO3</f>
        <v/>
      </c>
      <c r="H15" s="65" t="str">
        <f t="shared" si="6"/>
        <v>hod</v>
      </c>
      <c r="I15" s="82">
        <f>'práce'!BQ55</f>
        <v>0</v>
      </c>
      <c r="J15" s="65">
        <f>'práce'!BR4</f>
        <v>650</v>
      </c>
      <c r="K15" s="80">
        <f>'práce'!BS55</f>
        <v>0</v>
      </c>
      <c r="M15" s="67"/>
      <c r="N15" s="65"/>
      <c r="O15" s="65"/>
      <c r="P15" s="82"/>
      <c r="Q15" s="80"/>
    </row>
    <row r="16" ht="12.75" customHeight="1">
      <c r="A16" s="67"/>
      <c r="B16" s="65"/>
      <c r="C16" s="65"/>
      <c r="D16" s="69"/>
      <c r="E16" s="70"/>
      <c r="G16" s="67" t="str">
        <f>'práce'!BU3</f>
        <v/>
      </c>
      <c r="H16" s="65" t="str">
        <f t="shared" si="6"/>
        <v>hod</v>
      </c>
      <c r="I16" s="82">
        <f>'práce'!BW55</f>
        <v>0</v>
      </c>
      <c r="J16" s="65">
        <f>'práce'!BX4</f>
        <v>950</v>
      </c>
      <c r="K16" s="80">
        <f>'práce'!BY55</f>
        <v>0</v>
      </c>
      <c r="M16" s="67"/>
      <c r="N16" s="65"/>
      <c r="O16" s="65"/>
      <c r="P16" s="82"/>
      <c r="Q16" s="80"/>
    </row>
    <row r="17" ht="12.75" customHeight="1">
      <c r="A17" s="67"/>
      <c r="B17" s="65"/>
      <c r="C17" s="65"/>
      <c r="D17" s="69"/>
      <c r="E17" s="70"/>
      <c r="G17" s="67" t="str">
        <f>'práce'!CA3</f>
        <v/>
      </c>
      <c r="H17" s="65" t="str">
        <f t="shared" si="6"/>
        <v>hod</v>
      </c>
      <c r="I17" s="82">
        <f>'práce'!CC55</f>
        <v>0</v>
      </c>
      <c r="J17" s="65">
        <f>'práce'!CD4</f>
        <v>600</v>
      </c>
      <c r="K17" s="80">
        <f>'práce'!CE55</f>
        <v>0</v>
      </c>
      <c r="M17" s="67"/>
      <c r="N17" s="65"/>
      <c r="O17" s="65"/>
      <c r="P17" s="82"/>
      <c r="Q17" s="80"/>
    </row>
    <row r="18" ht="12.75" customHeight="1">
      <c r="A18" s="94" t="s">
        <v>103</v>
      </c>
      <c r="B18" s="95" t="s">
        <v>104</v>
      </c>
      <c r="C18" s="95" t="s">
        <v>104</v>
      </c>
      <c r="D18" s="124" t="s">
        <v>104</v>
      </c>
      <c r="E18" s="70">
        <f>SUM(E4:E14)</f>
        <v>50</v>
      </c>
      <c r="G18" s="97" t="str">
        <f>A18</f>
        <v>Celkem</v>
      </c>
      <c r="H18" s="95" t="s">
        <v>104</v>
      </c>
      <c r="I18" s="125">
        <f>SUM(I4:I17)</f>
        <v>0</v>
      </c>
      <c r="J18" s="95" t="s">
        <v>104</v>
      </c>
      <c r="K18" s="80">
        <f>SUM(K4:K17)</f>
        <v>0</v>
      </c>
      <c r="M18" s="97" t="str">
        <f>A18</f>
        <v>Celkem</v>
      </c>
      <c r="N18" s="95" t="s">
        <v>104</v>
      </c>
      <c r="O18" s="95" t="s">
        <v>104</v>
      </c>
      <c r="P18" s="95" t="s">
        <v>104</v>
      </c>
      <c r="Q18" s="80">
        <f>SUM(Q4:Q14)</f>
        <v>0</v>
      </c>
    </row>
    <row r="19" ht="12.75" customHeight="1">
      <c r="E19" s="63"/>
    </row>
    <row r="20" ht="12.75" customHeight="1">
      <c r="A20" s="108" t="str">
        <f>A3</f>
        <v>Materiál</v>
      </c>
      <c r="B20" s="109">
        <f>SUM(E4:E9)</f>
        <v>50</v>
      </c>
      <c r="C20" s="126">
        <f>B25</f>
        <v>350</v>
      </c>
      <c r="D20" s="127">
        <f t="shared" ref="D20:D25" si="7">B20/C20*100</f>
        <v>14.28571429</v>
      </c>
      <c r="E20" s="63"/>
      <c r="M20" s="64" t="str">
        <f>finance!A1</f>
        <v>Finance</v>
      </c>
      <c r="N20" s="65" t="s">
        <v>81</v>
      </c>
      <c r="O20" s="65" t="s">
        <v>82</v>
      </c>
      <c r="P20" s="65" t="s">
        <v>83</v>
      </c>
      <c r="Q20" s="65" t="s">
        <v>84</v>
      </c>
    </row>
    <row r="21" ht="12.75" customHeight="1">
      <c r="A21" s="108" t="s">
        <v>128</v>
      </c>
      <c r="B21" s="109">
        <f>E10</f>
        <v>0</v>
      </c>
      <c r="C21" s="126">
        <f t="shared" ref="C21:C25" si="8">C20</f>
        <v>350</v>
      </c>
      <c r="D21" s="127">
        <f t="shared" si="7"/>
        <v>0</v>
      </c>
      <c r="E21" s="63"/>
      <c r="M21" s="64"/>
      <c r="N21" s="65"/>
      <c r="O21" s="65"/>
      <c r="P21" s="65"/>
      <c r="Q21" s="65"/>
    </row>
    <row r="22" ht="12.75" customHeight="1">
      <c r="A22" s="108" t="str">
        <f>G3</f>
        <v>Práce</v>
      </c>
      <c r="B22" s="109">
        <f>K18</f>
        <v>0</v>
      </c>
      <c r="C22" s="126">
        <f t="shared" si="8"/>
        <v>350</v>
      </c>
      <c r="D22" s="127">
        <f t="shared" si="7"/>
        <v>0</v>
      </c>
      <c r="E22" s="63"/>
      <c r="M22" s="68" t="str">
        <f>finance!A4</f>
        <v>Kalkulace</v>
      </c>
      <c r="N22" s="65" t="str">
        <f>finance!B4</f>
        <v>hod</v>
      </c>
      <c r="O22" s="65">
        <f>finance!C4</f>
        <v>0</v>
      </c>
      <c r="P22" s="82">
        <f>finance!D4</f>
        <v>600</v>
      </c>
      <c r="Q22" s="80">
        <f t="shared" ref="Q22:Q28" si="9">O22*P22</f>
        <v>0</v>
      </c>
    </row>
    <row r="23" ht="12.75" customHeight="1">
      <c r="A23" s="108" t="str">
        <f>M3</f>
        <v>Služby</v>
      </c>
      <c r="B23" s="109">
        <f>SUM(Q4:Q11)</f>
        <v>0</v>
      </c>
      <c r="C23" s="126">
        <f t="shared" si="8"/>
        <v>350</v>
      </c>
      <c r="D23" s="127">
        <f t="shared" si="7"/>
        <v>0</v>
      </c>
      <c r="E23" s="63"/>
      <c r="M23" s="68" t="str">
        <f>finance!A5</f>
        <v>Fakturace</v>
      </c>
      <c r="N23" s="65" t="str">
        <f>finance!B5</f>
        <v>hod</v>
      </c>
      <c r="O23" s="65">
        <f>finance!C5</f>
        <v>0.5</v>
      </c>
      <c r="P23" s="82">
        <f>finance!D5</f>
        <v>600</v>
      </c>
      <c r="Q23" s="80">
        <f t="shared" si="9"/>
        <v>300</v>
      </c>
    </row>
    <row r="24" ht="12.75" customHeight="1">
      <c r="A24" s="108" t="str">
        <f>M20</f>
        <v>Finance</v>
      </c>
      <c r="B24" s="109">
        <f>Q29</f>
        <v>300</v>
      </c>
      <c r="C24" s="126">
        <f t="shared" si="8"/>
        <v>350</v>
      </c>
      <c r="D24" s="127">
        <f t="shared" si="7"/>
        <v>85.71428571</v>
      </c>
      <c r="E24" s="63"/>
      <c r="M24" s="68" t="str">
        <f>finance!A6</f>
        <v>Návrh projektu</v>
      </c>
      <c r="N24" s="65" t="str">
        <f>finance!B6</f>
        <v>hod</v>
      </c>
      <c r="O24" s="65">
        <f>finance!C6</f>
        <v>0</v>
      </c>
      <c r="P24" s="82">
        <f>finance!D6</f>
        <v>600</v>
      </c>
      <c r="Q24" s="80">
        <f t="shared" si="9"/>
        <v>0</v>
      </c>
    </row>
    <row r="25" ht="12.75" customHeight="1">
      <c r="A25" s="110" t="str">
        <f>A18</f>
        <v>Celkem</v>
      </c>
      <c r="B25" s="111">
        <f>SUM(B20:B24)</f>
        <v>350</v>
      </c>
      <c r="C25" s="126">
        <f t="shared" si="8"/>
        <v>350</v>
      </c>
      <c r="D25" s="127">
        <f t="shared" si="7"/>
        <v>100</v>
      </c>
      <c r="E25" s="63"/>
      <c r="M25" s="68" t="str">
        <f>finance!A7</f>
        <v/>
      </c>
      <c r="N25" s="65" t="str">
        <f>finance!B7</f>
        <v/>
      </c>
      <c r="O25" s="65" t="str">
        <f>finance!C7</f>
        <v/>
      </c>
      <c r="P25" s="82" t="str">
        <f>finance!D7</f>
        <v/>
      </c>
      <c r="Q25" s="80">
        <f t="shared" si="9"/>
        <v>0</v>
      </c>
    </row>
    <row r="26" ht="12.75" customHeight="1">
      <c r="M26" s="68" t="str">
        <f>finance!A8</f>
        <v/>
      </c>
      <c r="N26" s="65" t="str">
        <f>finance!B8</f>
        <v/>
      </c>
      <c r="O26" s="65" t="str">
        <f>finance!C8</f>
        <v/>
      </c>
      <c r="P26" s="82" t="str">
        <f>finance!D8</f>
        <v/>
      </c>
      <c r="Q26" s="80">
        <f t="shared" si="9"/>
        <v>0</v>
      </c>
    </row>
    <row r="27" ht="12.75" customHeight="1">
      <c r="A27" s="3" t="s">
        <v>118</v>
      </c>
      <c r="B27" s="62"/>
      <c r="C27" s="62"/>
      <c r="D27" s="62"/>
      <c r="E27" s="62"/>
      <c r="F27" s="62"/>
      <c r="G27" s="62"/>
      <c r="H27" s="62"/>
      <c r="M27" s="68" t="str">
        <f>finance!A9</f>
        <v/>
      </c>
      <c r="N27" s="65" t="str">
        <f>finance!B9</f>
        <v/>
      </c>
      <c r="O27" s="65" t="str">
        <f>finance!C9</f>
        <v/>
      </c>
      <c r="P27" s="82" t="str">
        <f>finance!D9</f>
        <v/>
      </c>
      <c r="Q27" s="80">
        <f t="shared" si="9"/>
        <v>0</v>
      </c>
    </row>
    <row r="28" ht="12.75" customHeight="1">
      <c r="M28" s="68" t="str">
        <f>finance!A10</f>
        <v/>
      </c>
      <c r="N28" s="65" t="str">
        <f>finance!B10</f>
        <v/>
      </c>
      <c r="O28" s="65" t="str">
        <f>finance!C10</f>
        <v/>
      </c>
      <c r="P28" s="82" t="str">
        <f>finance!D10</f>
        <v/>
      </c>
      <c r="Q28" s="80">
        <f t="shared" si="9"/>
        <v>0</v>
      </c>
    </row>
    <row r="29" ht="12.75" customHeight="1">
      <c r="A29" s="4" t="str">
        <f>A1</f>
        <v>Jednicové náklady</v>
      </c>
      <c r="D29" s="128">
        <f>SUM(B22:B24)</f>
        <v>300</v>
      </c>
      <c r="E29" s="4" t="s">
        <v>18</v>
      </c>
      <c r="M29" s="97" t="str">
        <f>A18</f>
        <v>Celkem</v>
      </c>
      <c r="N29" s="95" t="s">
        <v>104</v>
      </c>
      <c r="O29" s="95" t="s">
        <v>104</v>
      </c>
      <c r="P29" s="95" t="s">
        <v>104</v>
      </c>
      <c r="Q29" s="80">
        <f>SUM(Q22:Q28)</f>
        <v>300</v>
      </c>
    </row>
    <row r="30" ht="12.75" customHeight="1">
      <c r="A30" s="4" t="s">
        <v>129</v>
      </c>
      <c r="D30" s="128">
        <f t="shared" ref="D30:D31" si="10">B20</f>
        <v>50</v>
      </c>
      <c r="M30" s="129"/>
      <c r="N30" s="130"/>
      <c r="O30" s="130"/>
      <c r="P30" s="130"/>
      <c r="Q30" s="131"/>
    </row>
    <row r="31" ht="12.75" customHeight="1">
      <c r="A31" s="4" t="s">
        <v>130</v>
      </c>
      <c r="D31" s="128">
        <f t="shared" si="10"/>
        <v>0</v>
      </c>
      <c r="E31" s="4" t="s">
        <v>18</v>
      </c>
      <c r="M31" s="129"/>
      <c r="N31" s="130"/>
      <c r="O31" s="130"/>
      <c r="P31" s="130"/>
      <c r="Q31" s="131"/>
    </row>
    <row r="32" ht="12.75" customHeight="1">
      <c r="D32" s="103"/>
      <c r="M32" s="129"/>
      <c r="N32" s="130"/>
      <c r="O32" s="130"/>
      <c r="P32" s="130"/>
      <c r="Q32" s="131"/>
    </row>
    <row r="33" ht="12.75" customHeight="1">
      <c r="A33" s="129" t="str">
        <f>A27</f>
        <v>Režijní náklady</v>
      </c>
    </row>
    <row r="34" ht="12.75" customHeight="1">
      <c r="A34" s="4" t="s">
        <v>129</v>
      </c>
      <c r="B34" s="4">
        <v>47.0</v>
      </c>
      <c r="C34" s="4" t="s">
        <v>131</v>
      </c>
      <c r="D34" s="132">
        <f t="shared" ref="D34:D35" si="11">D30*B34/100</f>
        <v>23.5</v>
      </c>
      <c r="E34" s="4" t="s">
        <v>18</v>
      </c>
    </row>
    <row r="35" ht="12.75" customHeight="1">
      <c r="A35" s="4" t="s">
        <v>130</v>
      </c>
      <c r="B35" s="4">
        <v>47.0</v>
      </c>
      <c r="C35" s="4" t="s">
        <v>131</v>
      </c>
      <c r="D35" s="132">
        <f t="shared" si="11"/>
        <v>0</v>
      </c>
      <c r="E35" s="4" t="s">
        <v>18</v>
      </c>
    </row>
    <row r="36" ht="12.75" customHeight="1">
      <c r="D36" s="133"/>
    </row>
    <row r="37" ht="12.75" customHeight="1">
      <c r="A37" s="4" t="s">
        <v>132</v>
      </c>
      <c r="D37" s="132">
        <f>SUM(D34:D35)</f>
        <v>23.5</v>
      </c>
    </row>
    <row r="38" ht="12.75" customHeight="1"/>
    <row r="39" ht="12.75" customHeight="1">
      <c r="A39" s="3" t="s">
        <v>133</v>
      </c>
      <c r="B39" s="62"/>
      <c r="C39" s="62"/>
      <c r="D39" s="62"/>
      <c r="E39" s="62"/>
      <c r="F39" s="62"/>
      <c r="G39" s="62"/>
      <c r="H39" s="62"/>
    </row>
    <row r="40" ht="12.75" customHeight="1"/>
    <row r="41" ht="12.75" customHeight="1">
      <c r="A41" s="4" t="str">
        <f>A29</f>
        <v>Jednicové náklady</v>
      </c>
      <c r="D41" s="134">
        <f>SUM(D29:D31)</f>
        <v>350</v>
      </c>
      <c r="E41" s="4" t="s">
        <v>18</v>
      </c>
    </row>
    <row r="42" ht="12.75" customHeight="1">
      <c r="A42" s="4" t="str">
        <f>A33</f>
        <v>Režijní náklady</v>
      </c>
      <c r="D42" s="132">
        <f>D37</f>
        <v>23.5</v>
      </c>
      <c r="E42" s="4" t="s">
        <v>18</v>
      </c>
    </row>
    <row r="43" ht="12.75" customHeight="1">
      <c r="A43" s="129" t="str">
        <f>A39</f>
        <v>Celkové náklady</v>
      </c>
      <c r="D43" s="132">
        <f>SUM(D41:D42)</f>
        <v>373.5</v>
      </c>
      <c r="E43" s="4" t="s">
        <v>18</v>
      </c>
    </row>
    <row r="44" ht="12.75" customHeight="1"/>
    <row r="45" ht="12.75" customHeight="1">
      <c r="A45" s="3" t="s">
        <v>134</v>
      </c>
      <c r="B45" s="62"/>
      <c r="C45" s="62"/>
      <c r="D45" s="62"/>
      <c r="E45" s="62"/>
      <c r="F45" s="62"/>
      <c r="G45" s="62"/>
      <c r="H45" s="62"/>
      <c r="O45" s="71" t="s">
        <v>135</v>
      </c>
      <c r="P45" s="135"/>
      <c r="Q45" s="136"/>
    </row>
    <row r="46" ht="12.75" customHeight="1">
      <c r="O46" s="71"/>
      <c r="P46" s="135"/>
      <c r="Q46" s="136"/>
      <c r="S46" s="71" t="s">
        <v>136</v>
      </c>
      <c r="T46" s="136"/>
    </row>
    <row r="47" ht="12.75" customHeight="1">
      <c r="A47" s="4" t="str">
        <f>A43</f>
        <v>Celkové náklady</v>
      </c>
      <c r="D47" s="128">
        <f>D43</f>
        <v>373.5</v>
      </c>
      <c r="E47" s="4" t="s">
        <v>18</v>
      </c>
      <c r="G47" s="137" t="s">
        <v>137</v>
      </c>
      <c r="K47" s="86" t="s">
        <v>138</v>
      </c>
      <c r="O47" s="138" t="s">
        <v>139</v>
      </c>
      <c r="P47" s="138"/>
      <c r="Q47" s="67" t="s">
        <v>140</v>
      </c>
      <c r="S47" s="139">
        <f>(SUM(E5:E10)+Q5)</f>
        <v>50</v>
      </c>
      <c r="T47" s="139" t="s">
        <v>141</v>
      </c>
    </row>
    <row r="48" ht="12.75" customHeight="1">
      <c r="A48" s="4" t="str">
        <f>A45</f>
        <v>Zisk</v>
      </c>
      <c r="K48" s="86"/>
      <c r="O48" s="71"/>
      <c r="P48" s="135"/>
      <c r="Q48" s="136"/>
      <c r="S48" s="139">
        <f>(SUM(E5:E10)*1.05+(Q5*1.15))</f>
        <v>52.5</v>
      </c>
      <c r="T48" s="139" t="s">
        <v>142</v>
      </c>
    </row>
    <row r="49" ht="12.75" customHeight="1">
      <c r="A49" s="4" t="s">
        <v>94</v>
      </c>
      <c r="B49" s="140">
        <v>5.0</v>
      </c>
      <c r="C49" s="4" t="s">
        <v>131</v>
      </c>
      <c r="D49" s="132">
        <f t="shared" ref="D49:D53" si="12">B20*B49/100</f>
        <v>2.5</v>
      </c>
      <c r="E49" s="9" t="s">
        <v>18</v>
      </c>
      <c r="G49" s="141">
        <f t="shared" ref="G49:G50" si="13">B20+D34+D49</f>
        <v>76</v>
      </c>
      <c r="H49" s="4" t="s">
        <v>18</v>
      </c>
      <c r="K49" s="81">
        <f t="shared" ref="K49:K50" si="14">G49</f>
        <v>76</v>
      </c>
      <c r="M49" s="103"/>
      <c r="O49" s="142">
        <f t="shared" ref="O49:O50" si="15">G49</f>
        <v>76</v>
      </c>
      <c r="P49" s="143"/>
      <c r="Q49" s="144"/>
    </row>
    <row r="50" ht="12.75" customHeight="1">
      <c r="A50" s="4" t="s">
        <v>128</v>
      </c>
      <c r="B50" s="140">
        <v>5.0</v>
      </c>
      <c r="C50" s="4" t="s">
        <v>131</v>
      </c>
      <c r="D50" s="132">
        <f t="shared" si="12"/>
        <v>0</v>
      </c>
      <c r="E50" s="9" t="s">
        <v>18</v>
      </c>
      <c r="G50" s="141">
        <f t="shared" si="13"/>
        <v>0</v>
      </c>
      <c r="H50" s="4" t="s">
        <v>18</v>
      </c>
      <c r="K50" s="81">
        <f t="shared" si="14"/>
        <v>0</v>
      </c>
      <c r="M50" s="103"/>
      <c r="O50" s="142">
        <f t="shared" si="15"/>
        <v>0</v>
      </c>
      <c r="P50" s="145"/>
      <c r="Q50" s="144"/>
    </row>
    <row r="51" ht="12.75" customHeight="1">
      <c r="A51" s="4" t="s">
        <v>74</v>
      </c>
      <c r="B51" s="4">
        <v>0.0</v>
      </c>
      <c r="C51" s="4" t="s">
        <v>131</v>
      </c>
      <c r="D51" s="132">
        <f t="shared" si="12"/>
        <v>0</v>
      </c>
      <c r="E51" s="9" t="s">
        <v>18</v>
      </c>
      <c r="G51" s="141">
        <f t="shared" ref="G51:G53" si="16">B22+D51</f>
        <v>0</v>
      </c>
      <c r="H51" s="4" t="s">
        <v>18</v>
      </c>
      <c r="K51" s="81">
        <f>G51+G53</f>
        <v>345</v>
      </c>
      <c r="O51" s="142">
        <f>(G51*1.15)+G53</f>
        <v>345</v>
      </c>
      <c r="P51" s="145"/>
      <c r="Q51" s="144">
        <f>O51-K51</f>
        <v>0</v>
      </c>
    </row>
    <row r="52" ht="12.75" customHeight="1">
      <c r="A52" s="4" t="s">
        <v>87</v>
      </c>
      <c r="B52" s="4">
        <v>15.0</v>
      </c>
      <c r="C52" s="4" t="s">
        <v>131</v>
      </c>
      <c r="D52" s="132">
        <f t="shared" si="12"/>
        <v>0</v>
      </c>
      <c r="E52" s="4" t="s">
        <v>18</v>
      </c>
      <c r="G52" s="141">
        <f t="shared" si="16"/>
        <v>0</v>
      </c>
      <c r="H52" s="4" t="s">
        <v>18</v>
      </c>
      <c r="K52" s="81">
        <f>G52</f>
        <v>0</v>
      </c>
      <c r="O52" s="142">
        <f>Q18*1.15</f>
        <v>0</v>
      </c>
      <c r="P52" s="146"/>
      <c r="Q52" s="144">
        <f>Q12*1.15</f>
        <v>0</v>
      </c>
    </row>
    <row r="53" ht="12.75" customHeight="1">
      <c r="A53" s="4" t="s">
        <v>117</v>
      </c>
      <c r="B53" s="4">
        <v>15.0</v>
      </c>
      <c r="C53" s="4" t="s">
        <v>131</v>
      </c>
      <c r="D53" s="132">
        <f t="shared" si="12"/>
        <v>45</v>
      </c>
      <c r="E53" s="9" t="s">
        <v>18</v>
      </c>
      <c r="G53" s="141">
        <f t="shared" si="16"/>
        <v>345</v>
      </c>
      <c r="H53" s="4" t="s">
        <v>18</v>
      </c>
      <c r="O53" s="71"/>
      <c r="P53" s="135"/>
      <c r="Q53" s="136"/>
    </row>
    <row r="54" ht="12.75" customHeight="1">
      <c r="D54" s="133"/>
      <c r="O54" s="147">
        <f>SUM(O49:O52)</f>
        <v>421</v>
      </c>
      <c r="P54" s="65"/>
      <c r="Q54" s="139">
        <f>SUM(Q49:Q52)</f>
        <v>0</v>
      </c>
    </row>
    <row r="55" ht="12.75" customHeight="1">
      <c r="A55" s="4" t="s">
        <v>132</v>
      </c>
      <c r="D55" s="132">
        <f>SUM(D49:D53)</f>
        <v>47.5</v>
      </c>
      <c r="E55" s="9" t="s">
        <v>18</v>
      </c>
      <c r="O55" s="71"/>
      <c r="P55" s="136"/>
      <c r="Q55" s="148"/>
    </row>
    <row r="56" ht="12.75" customHeight="1"/>
    <row r="57" ht="12.75" customHeight="1">
      <c r="A57" s="3" t="s">
        <v>126</v>
      </c>
      <c r="B57" s="62"/>
      <c r="C57" s="62"/>
      <c r="D57" s="62"/>
      <c r="E57" s="62"/>
      <c r="F57" s="62"/>
      <c r="G57" s="62"/>
      <c r="H57" s="62"/>
      <c r="O57" s="133"/>
    </row>
    <row r="58" ht="12.75" customHeight="1"/>
    <row r="59" ht="12.75" customHeight="1">
      <c r="A59" s="4" t="str">
        <f t="shared" ref="A59:A60" si="17">A47</f>
        <v>Celkové náklady</v>
      </c>
      <c r="D59" s="128">
        <f>D47</f>
        <v>373.5</v>
      </c>
      <c r="E59" s="4" t="s">
        <v>18</v>
      </c>
    </row>
    <row r="60" ht="12.75" customHeight="1">
      <c r="A60" s="4" t="str">
        <f t="shared" si="17"/>
        <v>Zisk</v>
      </c>
      <c r="D60" s="132">
        <f>D55</f>
        <v>47.5</v>
      </c>
      <c r="E60" s="4" t="s">
        <v>18</v>
      </c>
    </row>
    <row r="61" ht="12.75" customHeight="1">
      <c r="A61" s="4" t="s">
        <v>143</v>
      </c>
      <c r="D61" s="132">
        <f>G50</f>
        <v>0</v>
      </c>
      <c r="E61" s="4" t="s">
        <v>18</v>
      </c>
      <c r="O61" s="103"/>
    </row>
    <row r="62" ht="12.75" customHeight="1">
      <c r="A62" s="4" t="s">
        <v>144</v>
      </c>
      <c r="D62" s="132">
        <f>G49+G51+G52+G53</f>
        <v>421</v>
      </c>
      <c r="E62" s="4" t="s">
        <v>18</v>
      </c>
    </row>
    <row r="63" ht="12.75" customHeight="1"/>
    <row r="64" ht="12.75" customHeight="1">
      <c r="A64" s="3" t="s">
        <v>127</v>
      </c>
      <c r="B64" s="62"/>
      <c r="C64" s="62"/>
      <c r="D64" s="62"/>
      <c r="E64" s="62"/>
      <c r="F64" s="62"/>
      <c r="G64" s="62"/>
      <c r="H64" s="62"/>
    </row>
    <row r="65" ht="12.75" customHeight="1"/>
    <row r="66" ht="12.75" customHeight="1">
      <c r="A66" s="4" t="str">
        <f>A61</f>
        <v>Cena bez 12% DPH</v>
      </c>
      <c r="D66" s="128">
        <f>D61</f>
        <v>0</v>
      </c>
      <c r="E66" s="4" t="s">
        <v>18</v>
      </c>
    </row>
    <row r="67" ht="12.75" customHeight="1">
      <c r="A67" s="4" t="s">
        <v>127</v>
      </c>
      <c r="D67" s="133"/>
    </row>
    <row r="68" ht="12.75" customHeight="1">
      <c r="B68" s="4">
        <f>IF('zadání'!D18,0,12)</f>
        <v>12</v>
      </c>
      <c r="C68" s="4" t="s">
        <v>131</v>
      </c>
      <c r="D68" s="132">
        <f>D66*B68/100</f>
        <v>0</v>
      </c>
      <c r="E68" s="4" t="s">
        <v>18</v>
      </c>
    </row>
    <row r="69" ht="12.75" customHeight="1">
      <c r="D69" s="133"/>
    </row>
    <row r="70" ht="12.75" customHeight="1">
      <c r="A70" s="4" t="s">
        <v>144</v>
      </c>
      <c r="D70" s="128">
        <f>D62</f>
        <v>421</v>
      </c>
      <c r="E70" s="4" t="s">
        <v>18</v>
      </c>
    </row>
    <row r="71" ht="12.75" customHeight="1">
      <c r="A71" s="4" t="s">
        <v>127</v>
      </c>
      <c r="D71" s="133"/>
    </row>
    <row r="72" ht="12.75" customHeight="1">
      <c r="B72" s="4">
        <f>IF('zadání'!D18,0,21)</f>
        <v>21</v>
      </c>
      <c r="C72" s="4" t="s">
        <v>131</v>
      </c>
      <c r="D72" s="132">
        <f>D70*B72/100</f>
        <v>88.41</v>
      </c>
      <c r="E72" s="4" t="s">
        <v>18</v>
      </c>
    </row>
    <row r="73" ht="12.75" customHeight="1"/>
    <row r="74" ht="12.75" customHeight="1">
      <c r="A74" s="3" t="s">
        <v>145</v>
      </c>
      <c r="B74" s="62"/>
      <c r="C74" s="62"/>
      <c r="D74" s="62"/>
      <c r="E74" s="62"/>
      <c r="F74" s="62"/>
      <c r="G74" s="62"/>
      <c r="H74" s="62"/>
    </row>
    <row r="75" ht="12.75" customHeight="1"/>
    <row r="76" ht="12.75" customHeight="1">
      <c r="A76" s="4" t="str">
        <f>A66</f>
        <v>Cena bez 12% DPH</v>
      </c>
      <c r="D76" s="128">
        <f>D66</f>
        <v>0</v>
      </c>
      <c r="E76" s="4" t="s">
        <v>18</v>
      </c>
    </row>
    <row r="77" ht="12.75" customHeight="1">
      <c r="A77" s="9" t="s">
        <v>144</v>
      </c>
      <c r="D77" s="128">
        <f>D70</f>
        <v>421</v>
      </c>
      <c r="E77" s="9" t="s">
        <v>18</v>
      </c>
    </row>
    <row r="78" ht="12.75" customHeight="1">
      <c r="A78" s="9"/>
      <c r="D78" s="103"/>
      <c r="E78" s="9"/>
    </row>
    <row r="79" ht="12.75" customHeight="1">
      <c r="A79" s="129" t="s">
        <v>146</v>
      </c>
      <c r="D79" s="149">
        <f>SUM(D76:D77)</f>
        <v>421</v>
      </c>
      <c r="E79" s="9" t="s">
        <v>18</v>
      </c>
    </row>
    <row r="80" ht="12.75" customHeight="1">
      <c r="D80" s="103"/>
    </row>
    <row r="81" ht="12.75" customHeight="1">
      <c r="A81" s="9" t="s">
        <v>147</v>
      </c>
      <c r="D81" s="132">
        <f>D68</f>
        <v>0</v>
      </c>
      <c r="E81" s="9" t="s">
        <v>18</v>
      </c>
    </row>
    <row r="82" ht="12.75" customHeight="1">
      <c r="A82" s="9" t="s">
        <v>148</v>
      </c>
      <c r="D82" s="132">
        <f>D72</f>
        <v>88.41</v>
      </c>
      <c r="E82" s="9" t="s">
        <v>18</v>
      </c>
    </row>
    <row r="83" ht="12.75" customHeight="1">
      <c r="D83" s="133"/>
    </row>
    <row r="84" ht="12.75" customHeight="1">
      <c r="A84" s="129" t="s">
        <v>149</v>
      </c>
      <c r="D84" s="150">
        <f t="shared" ref="D84:D85" si="18">D76+D81</f>
        <v>0</v>
      </c>
      <c r="E84" s="4" t="s">
        <v>18</v>
      </c>
    </row>
    <row r="85" ht="12.75" customHeight="1">
      <c r="A85" s="129" t="s">
        <v>150</v>
      </c>
      <c r="D85" s="150">
        <f t="shared" si="18"/>
        <v>509.41</v>
      </c>
      <c r="E85" s="9" t="s">
        <v>18</v>
      </c>
    </row>
    <row r="86" ht="12.75" customHeight="1"/>
    <row r="87" ht="12.75" customHeight="1">
      <c r="A87" s="129" t="s">
        <v>103</v>
      </c>
      <c r="D87" s="150">
        <f>SUM(D84:D85)</f>
        <v>509.41</v>
      </c>
      <c r="E87" s="9" t="s">
        <v>18</v>
      </c>
    </row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mergeCells count="7">
    <mergeCell ref="O45:Q45"/>
    <mergeCell ref="O46:Q46"/>
    <mergeCell ref="S46:T46"/>
    <mergeCell ref="O48:Q48"/>
    <mergeCell ref="P49:P52"/>
    <mergeCell ref="O53:Q53"/>
    <mergeCell ref="O55:P55"/>
  </mergeCells>
  <printOptions/>
  <pageMargins bottom="0.984251969" footer="0.0" header="0.0" left="0.787401575" right="0.787401575" top="0.984251969"/>
  <pageSetup orientation="portrait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0.0"/>
    <col customWidth="1" min="2" max="2" width="11.43"/>
    <col customWidth="1" min="3" max="26" width="8.71"/>
  </cols>
  <sheetData>
    <row r="1" ht="12.75" customHeight="1">
      <c r="A1" s="116" t="str">
        <f>'součty'!A74</f>
        <v>Cena s DPH</v>
      </c>
      <c r="B1" s="117">
        <f>'součty'!D87</f>
        <v>509.41</v>
      </c>
      <c r="D1" s="118" t="str">
        <f>'zadání'!A3</f>
        <v>Finanční limit:</v>
      </c>
      <c r="E1" s="119">
        <f>'zadání'!C3</f>
        <v>0</v>
      </c>
      <c r="F1" s="120" t="s">
        <v>125</v>
      </c>
      <c r="G1" s="121" t="str">
        <f>B1/E1*100</f>
        <v>#DIV/0!</v>
      </c>
    </row>
    <row r="2" ht="12.75" customHeight="1"/>
    <row r="3" ht="12.75" customHeight="1">
      <c r="A3" s="4" t="s">
        <v>126</v>
      </c>
      <c r="B3" s="122">
        <f>'součty'!D79</f>
        <v>421</v>
      </c>
    </row>
    <row r="4" ht="24.75" customHeight="1">
      <c r="A4" s="123" t="str">
        <f>'součty'!A29</f>
        <v>Jednicové náklady</v>
      </c>
    </row>
    <row r="5" ht="12.75" customHeight="1">
      <c r="A5" s="123" t="str">
        <f>'materiál'!A1</f>
        <v>Materiál</v>
      </c>
      <c r="B5" s="122">
        <f>'součty'!E18</f>
        <v>50</v>
      </c>
    </row>
    <row r="6" ht="12.75" customHeight="1">
      <c r="A6" s="123" t="str">
        <f>'práce'!A1</f>
        <v>Práce</v>
      </c>
      <c r="B6" s="122">
        <f>'součty'!K18</f>
        <v>0</v>
      </c>
    </row>
    <row r="7" ht="12.75" customHeight="1">
      <c r="A7" s="123" t="str">
        <f>'služby'!A1</f>
        <v>Služby</v>
      </c>
      <c r="B7" s="122">
        <f>'součty'!Q18</f>
        <v>0</v>
      </c>
    </row>
    <row r="8" ht="12.75" customHeight="1">
      <c r="A8" s="123" t="str">
        <f>finance!A1</f>
        <v>Finance</v>
      </c>
      <c r="B8" s="122">
        <f>'součty'!Q29</f>
        <v>300</v>
      </c>
    </row>
    <row r="9" ht="12.75" customHeight="1">
      <c r="A9" s="123" t="str">
        <f>'součty'!A33</f>
        <v>Režijní náklady</v>
      </c>
      <c r="B9" s="122">
        <f>'součty'!D37</f>
        <v>23.5</v>
      </c>
    </row>
    <row r="10" ht="12.75" customHeight="1">
      <c r="A10" s="123" t="str">
        <f>'součty'!A45</f>
        <v>Zisk</v>
      </c>
      <c r="B10" s="122">
        <f>'součty'!D55</f>
        <v>47.5</v>
      </c>
    </row>
    <row r="11" ht="12.75" customHeight="1">
      <c r="A11" s="4" t="s">
        <v>127</v>
      </c>
      <c r="B11" s="122">
        <f>'součty'!D81+'součty'!D82</f>
        <v>88.41</v>
      </c>
    </row>
    <row r="12" ht="12.75" customHeight="1"/>
    <row r="13" ht="12.75" customHeight="1"/>
    <row r="14" ht="12.75" customHeight="1"/>
    <row r="15" ht="12.75" customHeight="1"/>
    <row r="16" ht="12.75" customHeight="1"/>
    <row r="17" ht="12.75" customHeight="1"/>
    <row r="18" ht="12.75" customHeight="1"/>
    <row r="19" ht="12.75" customHeight="1"/>
    <row r="20" ht="12.75" customHeight="1"/>
    <row r="21" ht="12.75" customHeight="1"/>
    <row r="22" ht="12.75" customHeight="1"/>
    <row r="23" ht="12.75" customHeight="1"/>
    <row r="24" ht="12.75" customHeight="1"/>
    <row r="25" ht="12.75" customHeight="1"/>
    <row r="26" ht="12.75" customHeight="1"/>
    <row r="27" ht="12.75" customHeight="1"/>
    <row r="28" ht="12.75" customHeight="1"/>
    <row r="29" ht="12.75" customHeight="1"/>
    <row r="30" ht="12.75" customHeight="1"/>
    <row r="31" ht="12.75" customHeight="1"/>
    <row r="32" ht="12.75" customHeight="1"/>
    <row r="33" ht="12.75" customHeight="1"/>
    <row r="34" ht="12.75" customHeight="1"/>
    <row r="35" ht="12.75" customHeight="1"/>
    <row r="36" ht="12.75" customHeight="1"/>
    <row r="37" ht="12.75" customHeight="1"/>
    <row r="38" ht="12.75" customHeight="1"/>
    <row r="39" ht="12.75" customHeight="1"/>
    <row r="40" ht="12.75" customHeight="1"/>
    <row r="41" ht="12.75" customHeight="1"/>
    <row r="42" ht="12.75" customHeight="1"/>
    <row r="43" ht="12.75" customHeight="1"/>
    <row r="44" ht="12.75" customHeight="1"/>
    <row r="45" ht="12.75" customHeight="1"/>
    <row r="46" ht="12.75" customHeight="1"/>
    <row r="47" ht="12.75" customHeight="1"/>
    <row r="48" ht="12.75" customHeight="1"/>
    <row r="49" ht="12.75" customHeight="1"/>
    <row r="50" ht="12.75" customHeight="1"/>
    <row r="51" ht="12.75" customHeight="1"/>
    <row r="52" ht="12.75" customHeight="1"/>
    <row r="53" ht="12.75" customHeight="1"/>
    <row r="54" ht="12.75" customHeight="1"/>
    <row r="55" ht="12.75" customHeight="1"/>
    <row r="56" ht="12.75" customHeight="1"/>
    <row r="57" ht="12.75" customHeight="1"/>
    <row r="58" ht="12.75" customHeight="1"/>
    <row r="59" ht="12.75" customHeight="1"/>
    <row r="60" ht="12.75" customHeight="1"/>
    <row r="61" ht="12.75" customHeight="1"/>
    <row r="62" ht="12.75" customHeight="1"/>
    <row r="63" ht="12.75" customHeight="1"/>
    <row r="64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printOptions/>
  <pageMargins bottom="0.984251969" footer="0.0" header="0.0" left="0.787401575" right="0.787401575" top="0.984251969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2012-12-14T08:43:19Z</dcterms:created>
  <dc:creator>Bohumil Zavadil</dc:creator>
</cp:coreProperties>
</file>